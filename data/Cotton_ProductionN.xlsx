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127"/>
  <workbookPr defaultThemeVersion="166925"/>
  <bookViews>
    <workbookView xWindow="-108" yWindow="-108" windowWidth="23256" windowHeight="12576" activeTab="2"/>
  </bookViews>
  <sheets>
    <sheet name="Cotton Yield " sheetId="1" r:id="rId2"/>
    <sheet name="Cotton Area" sheetId="2" r:id="rId3"/>
    <sheet name="Cotton Prodn " sheetId="3" r:id="rId4"/>
  </sheets>
  <externalReferences>
    <externalReference r:id="rId1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Amrish Antre</author>
  </authors>
  <commentList>
    <comment ref="K27" authorId="0">
      <text>
        <r>
          <rPr>
            <b/>
            <sz val="9"/>
            <color indexed="81"/>
            <rFont val="Tahoma"/>
            <family val="2"/>
          </rPr>
          <t xml:space="preserve">Amrish Antre:</t>
        </r>
        <r>
          <rPr>
            <sz val="9"/>
            <color indexed="81"/>
            <rFont val="Tahoma"/>
            <family val="2"/>
          </rPr>
          <t xml:space="preserve">
335 is from Ashish</t>
        </r>
      </text>
    </comment>
  </commentList>
</comments>
</file>

<file path=xl/comments2.xml><?xml version="1.0" encoding="utf-8"?>
<comments xmlns="http://schemas.openxmlformats.org/spreadsheetml/2006/main">
  <authors>
    <author>Amrish Antre</author>
  </authors>
  <commentList>
    <comment ref="G28" authorId="0">
      <text>
        <r>
          <rPr>
            <b/>
            <sz val="9"/>
            <color indexed="81"/>
            <rFont val="Tahoma"/>
            <family val="2"/>
          </rPr>
          <t xml:space="preserve">Amrish Antre:</t>
        </r>
        <r>
          <rPr>
            <sz val="9"/>
            <color indexed="81"/>
            <rFont val="Tahoma"/>
            <family val="2"/>
          </rPr>
          <t xml:space="preserve">
As per Ashish more area drop 18%</t>
        </r>
      </text>
    </comment>
  </commentList>
</comments>
</file>

<file path=xl/sharedStrings.xml><?xml version="1.0" encoding="utf-8"?>
<sst xmlns="http://schemas.openxmlformats.org/spreadsheetml/2006/main" uniqueCount="100" count="100">
  <si>
    <t>ITEM</t>
  </si>
  <si>
    <t>Yield</t>
  </si>
  <si>
    <t>COMMODITY_SUB1</t>
  </si>
  <si>
    <t>non-specified</t>
  </si>
  <si>
    <t>CONDITION</t>
  </si>
  <si>
    <t>ALL</t>
  </si>
  <si>
    <t>SYMBOL</t>
  </si>
  <si>
    <t>SOURCE</t>
  </si>
  <si>
    <t>SEASON</t>
  </si>
  <si>
    <t>PUNJAB</t>
  </si>
  <si>
    <t>Haryana</t>
  </si>
  <si>
    <t>RAJASTHAN</t>
  </si>
  <si>
    <t>GUJARAT</t>
  </si>
  <si>
    <t>MAHARASHTRA</t>
  </si>
  <si>
    <t>MADHYA_PRADESH</t>
  </si>
  <si>
    <t>ANDHRA_PRADESH</t>
  </si>
  <si>
    <t>TELANGANA</t>
  </si>
  <si>
    <t>KARNATAKA</t>
  </si>
  <si>
    <t>TAMIL_NADU</t>
  </si>
  <si>
    <t>ORISSA &amp; OTHERS</t>
  </si>
  <si>
    <t>ALL_STATES</t>
  </si>
  <si>
    <t>GOI Final1954/1955</t>
  </si>
  <si>
    <t>GOI Final</t>
  </si>
  <si>
    <t>2001/02</t>
  </si>
  <si>
    <t>GOI Final1955/1956</t>
  </si>
  <si>
    <t>2002/03</t>
  </si>
  <si>
    <t>GOI Final1956/1957</t>
  </si>
  <si>
    <t>2003/04</t>
  </si>
  <si>
    <t>GOI Final1957/1958</t>
  </si>
  <si>
    <t>2004/05</t>
  </si>
  <si>
    <t>GOI Final1958/1959</t>
  </si>
  <si>
    <t>2005/06</t>
  </si>
  <si>
    <t>GOI Final1959/1960</t>
  </si>
  <si>
    <t>2006/07</t>
  </si>
  <si>
    <t>GOI Final1960/1961</t>
  </si>
  <si>
    <t>2007/08</t>
  </si>
  <si>
    <t>GOI Final1961/1962</t>
  </si>
  <si>
    <t>2008/09</t>
  </si>
  <si>
    <t>GOI Final1962/1963</t>
  </si>
  <si>
    <t>2009/10</t>
  </si>
  <si>
    <t>GOI Final1963/1964</t>
  </si>
  <si>
    <t>2010/11</t>
  </si>
  <si>
    <t>GOI Final1964/1965</t>
  </si>
  <si>
    <t>2011/12</t>
  </si>
  <si>
    <t>GOI Final1965/1966</t>
  </si>
  <si>
    <t>2012/13</t>
  </si>
  <si>
    <t>GOI Final1966/1967</t>
  </si>
  <si>
    <t>2013/14</t>
  </si>
  <si>
    <t>GOI Final1967/1968</t>
  </si>
  <si>
    <t>2014/15</t>
  </si>
  <si>
    <t>GOI Final1968/1969</t>
  </si>
  <si>
    <t>2015/16</t>
  </si>
  <si>
    <t>GOI Final1969/1970</t>
  </si>
  <si>
    <t>2016/17</t>
  </si>
  <si>
    <t>GOI Final1970/1971</t>
  </si>
  <si>
    <t>2017/18</t>
  </si>
  <si>
    <t>GOI Final1971/1972</t>
  </si>
  <si>
    <t>2018/19</t>
  </si>
  <si>
    <t>GOI Final1972/1973</t>
  </si>
  <si>
    <t>2019/20</t>
  </si>
  <si>
    <t>GOI Final1973/1974</t>
  </si>
  <si>
    <t>2020/21</t>
  </si>
  <si>
    <t>GOI Final1974/1975</t>
  </si>
  <si>
    <t xml:space="preserve">2021/22 </t>
  </si>
  <si>
    <t>GOI Final1975/1976</t>
  </si>
  <si>
    <t xml:space="preserve">2022/23 </t>
  </si>
  <si>
    <t>AGP2023/2024</t>
  </si>
  <si>
    <t>AGP</t>
  </si>
  <si>
    <t xml:space="preserve">2023/24 </t>
  </si>
  <si>
    <t>AGP2024/2025</t>
  </si>
  <si>
    <t xml:space="preserve">2024/25 </t>
  </si>
  <si>
    <t>Var.</t>
  </si>
  <si>
    <t>AGP Upside</t>
  </si>
  <si>
    <t>AGP  Downside</t>
  </si>
  <si>
    <t>Risk/Potential</t>
  </si>
  <si>
    <t>After Risk/Potential</t>
  </si>
  <si>
    <t>AGP2025/2026</t>
  </si>
  <si>
    <t xml:space="preserve">2025/26 </t>
  </si>
  <si>
    <t>AGP2026/2027</t>
  </si>
  <si>
    <t>2026/27</t>
  </si>
  <si>
    <t>Harvested</t>
  </si>
  <si>
    <t>k</t>
  </si>
  <si>
    <t>Sugar Production</t>
  </si>
  <si>
    <t>mmt</t>
  </si>
  <si>
    <t>AGP Upside2024/2025</t>
  </si>
  <si>
    <t>ECTP Upside</t>
  </si>
  <si>
    <t>2016/2017</t>
  </si>
  <si>
    <t>AGP Downside2024/2025</t>
  </si>
  <si>
    <t>ECTP Downside</t>
  </si>
  <si>
    <t>Risk/Potential2024/2025</t>
  </si>
  <si>
    <t>Crop Stage2024/2025</t>
  </si>
  <si>
    <t>Crop Stage</t>
  </si>
  <si>
    <t>DONE</t>
  </si>
  <si>
    <t>HARVEST</t>
  </si>
  <si>
    <t>Timeline2024/2025</t>
  </si>
  <si>
    <t>Timeline</t>
  </si>
  <si>
    <t>Crop Stage2025/2026</t>
  </si>
  <si>
    <t xml:space="preserve"> Harvest Completed</t>
  </si>
  <si>
    <t>'3 Picking Completed</t>
  </si>
  <si>
    <t>3 Picking Completed</t>
  </si>
</sst>
</file>

<file path=xl/styles.xml><?xml version="1.0" encoding="utf-8"?>
<styleSheet xmlns="http://schemas.openxmlformats.org/spreadsheetml/2006/main">
  <numFmts count="10">
    <numFmt numFmtId="0" formatCode="General"/>
    <numFmt numFmtId="1" formatCode="0"/>
    <numFmt numFmtId="165" formatCode="_-* #,##0_-;\-* #,##0_-;_-* &quot;-&quot;??_-;_-@_-"/>
    <numFmt numFmtId="9" formatCode="0%"/>
    <numFmt numFmtId="166" formatCode="_-* #,##0.000_-;\-* #,##0.000_-;_-* &quot;-&quot;??_-;_-@_-"/>
    <numFmt numFmtId="167" formatCode="0.0%"/>
    <numFmt numFmtId="3" formatCode="#,##0"/>
    <numFmt numFmtId="2" formatCode="0.00"/>
    <numFmt numFmtId="164" formatCode="_ * #,##0.00_ ;_ * \-#,##0.00_ ;_ * &quot;-&quot;??_ ;_ @_ "/>
    <numFmt numFmtId="168" formatCode="0.0"/>
  </numFmts>
  <fonts count="8">
    <font>
      <name val="Calibri"/>
      <sz val="11"/>
    </font>
    <font>
      <name val="Calibri"/>
      <sz val="10"/>
      <color rgb="FF000000"/>
    </font>
    <font>
      <name val="Calibri"/>
      <b/>
      <sz val="10"/>
    </font>
    <font>
      <name val="Calibri"/>
      <b/>
      <sz val="10"/>
      <color rgb="FF000000"/>
    </font>
    <font>
      <name val="Calibri"/>
      <sz val="10"/>
    </font>
    <font>
      <name val="Tahoma"/>
      <sz val="10"/>
      <color rgb="FF000000"/>
    </font>
    <font>
      <name val="Calibri"/>
      <sz val="8"/>
      <color rgb="FF000000"/>
    </font>
    <font>
      <name val="Calibri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rgb="FF226C74"/>
      </right>
      <top/>
      <bottom/>
      <diagonal/>
    </border>
  </borders>
  <cellStyleXfs count="3">
    <xf numFmtId="0" fontId="0" fillId="0" borderId="0">
      <alignment vertical="center"/>
    </xf>
    <xf numFmtId="164" fontId="7" fillId="0" borderId="0">
      <alignment vertical="top"/>
      <protection locked="0" hidden="0"/>
    </xf>
    <xf numFmtId="9" fontId="7" fillId="0" borderId="0">
      <alignment vertical="top"/>
      <protection locked="0" hidden="0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horizontal="center" vertical="bottom"/>
    </xf>
    <xf numFmtId="1" fontId="1" fillId="0" borderId="0" xfId="0" applyNumberFormat="1" applyFont="1" applyAlignment="1">
      <alignment horizontal="center" vertical="bottom"/>
    </xf>
    <xf numFmtId="165" fontId="1" fillId="0" borderId="0" xfId="0" applyNumberFormat="1" applyFont="1" applyAlignment="1">
      <alignment vertical="bottom"/>
    </xf>
    <xf numFmtId="165" fontId="3" fillId="2" borderId="0" xfId="1" applyNumberFormat="1" applyFont="1" applyFill="1" applyAlignment="1">
      <alignment horizontal="center" vertical="bottom"/>
    </xf>
    <xf numFmtId="1" fontId="3" fillId="2" borderId="0" xfId="1" applyNumberFormat="1" applyFont="1" applyFill="1" applyAlignment="1">
      <alignment horizontal="center" vertical="bottom"/>
    </xf>
    <xf numFmtId="9" fontId="1" fillId="0" borderId="0" xfId="2" applyFont="1" applyAlignment="1">
      <alignment horizontal="center" vertical="bottom"/>
    </xf>
    <xf numFmtId="165" fontId="1" fillId="0" borderId="0" xfId="1" applyNumberFormat="1" applyFont="1" applyAlignment="1">
      <alignment vertical="bottom"/>
    </xf>
    <xf numFmtId="165" fontId="1" fillId="0" borderId="0" xfId="1" applyNumberFormat="1" applyFont="1" applyFill="1" applyAlignment="1">
      <alignment vertical="bottom"/>
    </xf>
    <xf numFmtId="165" fontId="1" fillId="0" borderId="0" xfId="1" applyNumberFormat="1" applyFont="1" applyFill="1" applyAlignment="1">
      <alignment horizontal="left" vertical="bottom"/>
    </xf>
    <xf numFmtId="1" fontId="1" fillId="0" borderId="0" xfId="1" applyNumberFormat="1" applyFont="1" applyFill="1" applyAlignment="1">
      <alignment horizontal="center" vertical="bottom"/>
    </xf>
    <xf numFmtId="0" fontId="1" fillId="0" borderId="0" xfId="0" applyFont="1" applyAlignment="1">
      <alignment horizontal="left" vertical="bottom"/>
    </xf>
    <xf numFmtId="165" fontId="3" fillId="2" borderId="0" xfId="1" applyNumberFormat="1" applyFont="1" applyFill="1" applyAlignment="1">
      <alignment vertical="bottom"/>
    </xf>
    <xf numFmtId="0" fontId="3" fillId="2" borderId="0" xfId="1" applyNumberFormat="1" applyFont="1" applyFill="1" applyAlignment="1">
      <alignment horizontal="left" vertical="bottom"/>
    </xf>
    <xf numFmtId="165" fontId="1" fillId="0" borderId="0" xfId="1" applyNumberFormat="1" applyFont="1" applyAlignment="1">
      <alignment horizontal="center" vertical="bottom"/>
    </xf>
    <xf numFmtId="0" fontId="4" fillId="0" borderId="0" xfId="0" applyFont="1" applyAlignment="1">
      <alignment vertical="bottom"/>
    </xf>
    <xf numFmtId="9" fontId="1" fillId="0" borderId="0" xfId="2" applyFont="1" applyAlignment="1">
      <alignment vertical="bottom"/>
    </xf>
    <xf numFmtId="165" fontId="3" fillId="2" borderId="0" xfId="1" applyNumberFormat="1" applyFont="1" applyFill="1" applyAlignment="1">
      <alignment horizontal="left" vertical="bottom"/>
    </xf>
    <xf numFmtId="166" fontId="1" fillId="0" borderId="0" xfId="1" applyNumberFormat="1" applyFont="1" applyAlignment="1">
      <alignment vertical="bottom"/>
    </xf>
    <xf numFmtId="0" fontId="1" fillId="3" borderId="0" xfId="0" applyFont="1" applyFill="1" applyAlignment="1">
      <alignment vertical="bottom"/>
    </xf>
    <xf numFmtId="0" fontId="1" fillId="3" borderId="0" xfId="0" applyFont="1" applyFill="1" applyAlignment="1">
      <alignment horizontal="left" vertical="bottom"/>
    </xf>
    <xf numFmtId="1" fontId="1" fillId="3" borderId="0" xfId="0" applyNumberFormat="1" applyFont="1" applyFill="1" applyAlignment="1">
      <alignment horizontal="center" vertical="bottom"/>
    </xf>
    <xf numFmtId="165" fontId="1" fillId="3" borderId="0" xfId="1" applyNumberFormat="1" applyFont="1" applyFill="1" applyAlignment="1">
      <alignment vertical="bottom"/>
    </xf>
    <xf numFmtId="1" fontId="3" fillId="0" borderId="0" xfId="0" applyNumberFormat="1" applyFont="1" applyAlignment="1">
      <alignment horizontal="center" vertical="bottom"/>
    </xf>
    <xf numFmtId="165" fontId="1" fillId="0" borderId="0" xfId="1" applyNumberFormat="1" applyFont="1" applyAlignment="1">
      <alignment vertical="bottom"/>
    </xf>
    <xf numFmtId="167" fontId="1" fillId="0" borderId="0" xfId="2" applyNumberFormat="1" applyFont="1" applyAlignment="1">
      <alignment horizontal="center" vertical="bottom"/>
    </xf>
    <xf numFmtId="3" fontId="1" fillId="0" borderId="0" xfId="0" applyNumberFormat="1" applyFont="1" applyAlignment="1">
      <alignment horizontal="center" vertical="bottom"/>
    </xf>
    <xf numFmtId="2" fontId="1" fillId="0" borderId="0" xfId="0" applyNumberFormat="1" applyFont="1" applyAlignment="1">
      <alignment horizontal="center" vertical="bottom"/>
    </xf>
    <xf numFmtId="164" fontId="1" fillId="0" borderId="0" xfId="0" applyNumberFormat="1" applyFont="1" applyAlignment="1">
      <alignment horizontal="center" vertical="bottom"/>
    </xf>
    <xf numFmtId="0" fontId="3" fillId="0" borderId="0" xfId="0" applyFont="1" applyAlignment="1">
      <alignment vertical="bottom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1" fillId="0" borderId="0" xfId="1" applyNumberFormat="1" applyFont="1" applyAlignment="1">
      <alignment horizontal="center" vertical="bottom"/>
    </xf>
    <xf numFmtId="168" fontId="1" fillId="0" borderId="0" xfId="0" applyNumberFormat="1" applyFont="1" applyAlignment="1">
      <alignment horizontal="center" vertical="bottom"/>
    </xf>
    <xf numFmtId="1" fontId="1" fillId="0" borderId="0" xfId="0" applyNumberFormat="1" applyFont="1" applyAlignment="1">
      <alignment horizontal="center" vertical="center"/>
    </xf>
    <xf numFmtId="2" fontId="3" fillId="2" borderId="0" xfId="1" applyNumberFormat="1" applyFont="1" applyFill="1" applyAlignment="1">
      <alignment horizontal="center" vertical="bottom"/>
    </xf>
    <xf numFmtId="168" fontId="3" fillId="2" borderId="0" xfId="1" applyNumberFormat="1" applyFont="1" applyFill="1" applyAlignment="1">
      <alignment horizontal="center" vertical="bottom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64" fontId="1" fillId="0" borderId="0" xfId="1" applyFont="1" applyFill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1" applyNumberFormat="1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166" fontId="1" fillId="0" borderId="0" xfId="1" applyNumberFormat="1" applyFont="1" applyAlignment="1">
      <alignment horizontal="center" vertical="bottom"/>
    </xf>
    <xf numFmtId="2" fontId="6" fillId="0" borderId="1" xfId="0" applyNumberFormat="1" applyFont="1" applyBorder="1" applyAlignment="1" quotePrefix="1">
      <alignment horizontal="center" vertical="center"/>
    </xf>
  </cellXfs>
  <cellStyles count="3">
    <cellStyle name="常规" xfId="0" builtinId="0"/>
    <cellStyle name="千位分隔" xfId="1" builtinId="3"/>
    <cellStyle name="百分比" xfId="2" builtinId="5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externalLink" Target="externalLinks/externalLink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Agrolytix/Cotton/AGP%2520Cottpn%2520Production%2520File%2520April%2520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ummary Table 25  (2)"/>
      <sheetName val="Summary Table 2627"/>
      <sheetName val="Instructions"/>
      <sheetName val="ROI"/>
      <sheetName val="Cotton_Yield"/>
      <sheetName val="Summary Table 25 "/>
      <sheetName val="Cotton_Area"/>
      <sheetName val="Cotton_Production"/>
      <sheetName val="Sheet3"/>
      <sheetName val="Acreage chart"/>
      <sheetName val="Production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D5">
            <v>341.0</v>
          </cell>
          <cell r="E5">
            <v>306.0</v>
          </cell>
          <cell r="F5">
            <v>358.0</v>
          </cell>
          <cell r="G5">
            <v>350.0</v>
          </cell>
          <cell r="H5">
            <v>101.0</v>
          </cell>
          <cell r="I5">
            <v>647.0</v>
          </cell>
          <cell r="J5">
            <v>420.0</v>
          </cell>
          <cell r="K5">
            <v>0.0</v>
          </cell>
          <cell r="L5">
            <v>235.0</v>
          </cell>
          <cell r="M5">
            <v>484.0</v>
          </cell>
          <cell r="N5">
            <v>266.0</v>
          </cell>
        </row>
        <row r="6">
          <cell r="D6">
            <v>262.0</v>
          </cell>
          <cell r="E6">
            <v>153.0</v>
          </cell>
          <cell r="F6">
            <v>343.0</v>
          </cell>
          <cell r="G6">
            <v>328.0</v>
          </cell>
          <cell r="H6">
            <v>195.0</v>
          </cell>
          <cell r="I6">
            <v>546.0</v>
          </cell>
          <cell r="J6">
            <v>454.0</v>
          </cell>
          <cell r="K6">
            <v>0.0</v>
          </cell>
          <cell r="L6">
            <v>201.0</v>
          </cell>
          <cell r="M6">
            <v>425.0</v>
          </cell>
          <cell r="N6">
            <v>142.0</v>
          </cell>
        </row>
        <row r="7">
          <cell r="D7">
            <v>284.0</v>
          </cell>
          <cell r="E7">
            <v>287.0</v>
          </cell>
          <cell r="F7">
            <v>220.0</v>
          </cell>
          <cell r="G7">
            <v>317.0</v>
          </cell>
          <cell r="H7">
            <v>158.0</v>
          </cell>
          <cell r="I7">
            <v>561.0</v>
          </cell>
          <cell r="J7">
            <v>418.0</v>
          </cell>
          <cell r="K7">
            <v>0.0</v>
          </cell>
          <cell r="L7">
            <v>216.0</v>
          </cell>
          <cell r="M7">
            <v>600.0</v>
          </cell>
          <cell r="N7">
            <v>321.0</v>
          </cell>
        </row>
        <row r="8">
          <cell r="D8">
            <v>389.0</v>
          </cell>
          <cell r="E8">
            <v>372.0</v>
          </cell>
          <cell r="F8">
            <v>452.0</v>
          </cell>
          <cell r="G8">
            <v>516.0</v>
          </cell>
          <cell r="H8">
            <v>191.0</v>
          </cell>
          <cell r="I8">
            <v>565.0</v>
          </cell>
          <cell r="J8">
            <v>557.0</v>
          </cell>
          <cell r="K8">
            <v>0.0</v>
          </cell>
          <cell r="L8">
            <v>228.0</v>
          </cell>
          <cell r="M8">
            <v>619.0</v>
          </cell>
          <cell r="N8">
            <v>333.0</v>
          </cell>
        </row>
        <row r="9">
          <cell r="D9">
            <v>551.0</v>
          </cell>
          <cell r="E9">
            <v>424.0</v>
          </cell>
          <cell r="F9">
            <v>427.0</v>
          </cell>
          <cell r="G9">
            <v>651.0</v>
          </cell>
          <cell r="H9">
            <v>311.0</v>
          </cell>
          <cell r="I9">
            <v>572.0</v>
          </cell>
          <cell r="J9">
            <v>469.0</v>
          </cell>
          <cell r="K9">
            <v>0.0</v>
          </cell>
          <cell r="L9">
            <v>261.0</v>
          </cell>
          <cell r="M9">
            <v>725.0</v>
          </cell>
          <cell r="N9">
            <v>250.0</v>
          </cell>
        </row>
        <row r="10">
          <cell r="D10">
            <v>610.0</v>
          </cell>
          <cell r="E10">
            <v>379.0</v>
          </cell>
          <cell r="F10">
            <v>397.0</v>
          </cell>
          <cell r="G10">
            <v>794.0</v>
          </cell>
          <cell r="H10">
            <v>213.0</v>
          </cell>
          <cell r="I10">
            <v>494.0</v>
          </cell>
          <cell r="J10">
            <v>527.0</v>
          </cell>
          <cell r="K10">
            <v>0.0</v>
          </cell>
          <cell r="L10">
            <v>268.0</v>
          </cell>
          <cell r="M10">
            <v>668.0</v>
          </cell>
          <cell r="N10">
            <v>215.0</v>
          </cell>
        </row>
        <row r="11">
          <cell r="D11">
            <v>672.0</v>
          </cell>
          <cell r="E11">
            <v>481.0</v>
          </cell>
          <cell r="F11">
            <v>437.0</v>
          </cell>
          <cell r="G11">
            <v>733.0</v>
          </cell>
          <cell r="H11">
            <v>274.0</v>
          </cell>
          <cell r="I11">
            <v>505.0</v>
          </cell>
          <cell r="J11">
            <v>630.0</v>
          </cell>
          <cell r="K11">
            <v>0.0</v>
          </cell>
          <cell r="L11">
            <v>270.0</v>
          </cell>
          <cell r="M11">
            <v>850.0</v>
          </cell>
          <cell r="N11">
            <v>239.0</v>
          </cell>
        </row>
        <row r="12">
          <cell r="D12">
            <v>619.0</v>
          </cell>
          <cell r="E12">
            <v>563.0</v>
          </cell>
          <cell r="F12">
            <v>451.0</v>
          </cell>
          <cell r="G12">
            <v>786.0</v>
          </cell>
          <cell r="H12">
            <v>330.0</v>
          </cell>
          <cell r="I12">
            <v>567.0</v>
          </cell>
          <cell r="J12">
            <v>687.0</v>
          </cell>
          <cell r="K12">
            <v>0.0</v>
          </cell>
          <cell r="L12">
            <v>338.0</v>
          </cell>
          <cell r="M12">
            <v>714.0</v>
          </cell>
          <cell r="N12">
            <v>315.0</v>
          </cell>
        </row>
        <row r="13">
          <cell r="D13">
            <v>554.0</v>
          </cell>
          <cell r="E13">
            <v>523.0</v>
          </cell>
          <cell r="F13">
            <v>572.0</v>
          </cell>
          <cell r="G13">
            <v>633.0</v>
          </cell>
          <cell r="H13">
            <v>336.0</v>
          </cell>
          <cell r="I13">
            <v>467.0</v>
          </cell>
          <cell r="J13">
            <v>670.0</v>
          </cell>
          <cell r="K13">
            <v>0.0</v>
          </cell>
          <cell r="L13">
            <v>392.0</v>
          </cell>
          <cell r="M13">
            <v>708.0</v>
          </cell>
          <cell r="N13">
            <v>347.0</v>
          </cell>
        </row>
        <row r="14">
          <cell r="D14">
            <v>593.0</v>
          </cell>
          <cell r="E14">
            <v>587.0</v>
          </cell>
          <cell r="F14">
            <v>513.0</v>
          </cell>
          <cell r="G14">
            <v>686.0</v>
          </cell>
          <cell r="H14">
            <v>379.0</v>
          </cell>
          <cell r="I14">
            <v>463.0</v>
          </cell>
          <cell r="J14">
            <v>567.0</v>
          </cell>
          <cell r="K14">
            <v>0.0</v>
          </cell>
          <cell r="L14">
            <v>346.0</v>
          </cell>
          <cell r="M14">
            <v>1003.0</v>
          </cell>
          <cell r="N14">
            <v>578.0</v>
          </cell>
        </row>
        <row r="15">
          <cell r="D15">
            <v>607.0</v>
          </cell>
          <cell r="E15">
            <v>690.0</v>
          </cell>
          <cell r="F15">
            <v>651.0</v>
          </cell>
          <cell r="G15">
            <v>699.9999999999999</v>
          </cell>
          <cell r="H15">
            <v>313.0</v>
          </cell>
          <cell r="I15">
            <v>433.0</v>
          </cell>
          <cell r="J15">
            <v>543.0</v>
          </cell>
          <cell r="K15">
            <v>0.0</v>
          </cell>
          <cell r="L15">
            <v>459.99999999999994</v>
          </cell>
          <cell r="M15">
            <v>830.9999999999999</v>
          </cell>
          <cell r="N15">
            <v>630.0</v>
          </cell>
        </row>
        <row r="16">
          <cell r="D16">
            <v>743.9999999999999</v>
          </cell>
          <cell r="E16">
            <v>720.0</v>
          </cell>
          <cell r="F16">
            <v>642.0000000000001</v>
          </cell>
          <cell r="G16">
            <v>633.0</v>
          </cell>
          <cell r="H16">
            <v>332.0</v>
          </cell>
          <cell r="I16">
            <v>531.0</v>
          </cell>
          <cell r="J16">
            <v>595.0</v>
          </cell>
          <cell r="K16">
            <v>0.0</v>
          </cell>
          <cell r="L16">
            <v>596.0</v>
          </cell>
          <cell r="M16">
            <v>797.0</v>
          </cell>
          <cell r="N16">
            <v>600.0</v>
          </cell>
        </row>
        <row r="17">
          <cell r="D17">
            <v>800.0</v>
          </cell>
          <cell r="E17">
            <v>761.0</v>
          </cell>
          <cell r="F17">
            <v>606.0</v>
          </cell>
          <cell r="G17">
            <v>836.9999999999999</v>
          </cell>
          <cell r="H17">
            <v>341.0</v>
          </cell>
          <cell r="I17">
            <v>628.0</v>
          </cell>
          <cell r="J17">
            <v>550.0</v>
          </cell>
          <cell r="K17">
            <v>0.0</v>
          </cell>
          <cell r="L17">
            <v>591.0</v>
          </cell>
          <cell r="M17">
            <v>559.0</v>
          </cell>
          <cell r="N17">
            <v>611.0</v>
          </cell>
        </row>
        <row r="18">
          <cell r="D18">
            <v>526.0</v>
          </cell>
          <cell r="E18">
            <v>603.0</v>
          </cell>
          <cell r="F18">
            <v>593.0</v>
          </cell>
          <cell r="G18">
            <v>687.0</v>
          </cell>
          <cell r="H18">
            <v>325.0</v>
          </cell>
          <cell r="I18">
            <v>563.0</v>
          </cell>
          <cell r="J18">
            <v>517.0</v>
          </cell>
          <cell r="K18">
            <v>0.0</v>
          </cell>
          <cell r="L18">
            <v>661.0</v>
          </cell>
          <cell r="M18">
            <v>545.0</v>
          </cell>
          <cell r="N18">
            <v>540.0</v>
          </cell>
        </row>
        <row r="19">
          <cell r="D19">
            <v>313.0</v>
          </cell>
          <cell r="E19">
            <v>401.0</v>
          </cell>
          <cell r="F19">
            <v>569.0</v>
          </cell>
          <cell r="G19">
            <v>562.0</v>
          </cell>
          <cell r="H19">
            <v>307.0</v>
          </cell>
          <cell r="I19">
            <v>544.0</v>
          </cell>
          <cell r="J19">
            <v>570.0</v>
          </cell>
          <cell r="K19">
            <v>0.0</v>
          </cell>
          <cell r="L19">
            <v>516.0</v>
          </cell>
          <cell r="M19">
            <v>718.0</v>
          </cell>
          <cell r="N19">
            <v>490.0</v>
          </cell>
        </row>
        <row r="20">
          <cell r="D20">
            <v>537.0</v>
          </cell>
          <cell r="E20">
            <v>611.0</v>
          </cell>
          <cell r="F20">
            <v>596.0</v>
          </cell>
          <cell r="G20">
            <v>678.0</v>
          </cell>
          <cell r="H20">
            <v>396.0</v>
          </cell>
          <cell r="I20">
            <v>582.0</v>
          </cell>
          <cell r="J20">
            <v>606.0</v>
          </cell>
          <cell r="K20">
            <v>0.0</v>
          </cell>
          <cell r="L20">
            <v>600.0</v>
          </cell>
          <cell r="M20">
            <v>599.0</v>
          </cell>
          <cell r="N20">
            <v>456.99999999999994</v>
          </cell>
        </row>
        <row r="21">
          <cell r="D21">
            <v>672.0</v>
          </cell>
          <cell r="E21">
            <v>572.0</v>
          </cell>
          <cell r="F21">
            <v>640.0</v>
          </cell>
          <cell r="G21">
            <v>674.0</v>
          </cell>
          <cell r="H21">
            <v>343.0</v>
          </cell>
          <cell r="I21">
            <v>578.0</v>
          </cell>
          <cell r="J21">
            <v>505.0</v>
          </cell>
          <cell r="K21">
            <v>0.0</v>
          </cell>
          <cell r="L21">
            <v>576.0</v>
          </cell>
          <cell r="M21">
            <v>504.99999999999994</v>
          </cell>
          <cell r="N21">
            <v>482.0</v>
          </cell>
        </row>
        <row r="22">
          <cell r="D22">
            <v>634.3283582089553</v>
          </cell>
          <cell r="E22">
            <v>552.2598870056497</v>
          </cell>
          <cell r="F22">
            <v>702.7027027027027</v>
          </cell>
          <cell r="G22">
            <v>559.2105263157895</v>
          </cell>
          <cell r="H22">
            <v>301.8359191349318</v>
          </cell>
          <cell r="I22">
            <v>667.2638436482084</v>
          </cell>
          <cell r="J22">
            <v>396.94041867954917</v>
          </cell>
          <cell r="K22">
            <v>393.0107526881721</v>
          </cell>
          <cell r="L22">
            <v>465.32846715328463</v>
          </cell>
          <cell r="M22">
            <v>639.0977443609023</v>
          </cell>
          <cell r="N22">
            <v>490.38461538461536</v>
          </cell>
        </row>
        <row r="23">
          <cell r="D23">
            <v>651.2096774193549</v>
          </cell>
          <cell r="E23">
            <v>564.3153526970955</v>
          </cell>
          <cell r="F23">
            <v>581.578947368421</v>
          </cell>
          <cell r="G23">
            <v>576.1506276150627</v>
          </cell>
          <cell r="H23">
            <v>343.1156930126002</v>
          </cell>
          <cell r="I23">
            <v>502.4630541871921</v>
          </cell>
          <cell r="J23">
            <v>533.7883959044369</v>
          </cell>
          <cell r="K23">
            <v>523.2254400908575</v>
          </cell>
          <cell r="L23">
            <v>547.5548060708263</v>
          </cell>
          <cell r="M23">
            <v>629.6296296296297</v>
          </cell>
          <cell r="N23">
            <v>494.8356807511737</v>
          </cell>
        </row>
        <row r="24">
          <cell r="D24">
            <v>703.0278884462151</v>
          </cell>
          <cell r="E24">
            <v>513.2963988919668</v>
          </cell>
          <cell r="F24">
            <v>641.7079207920792</v>
          </cell>
          <cell r="G24">
            <v>678.8064940763493</v>
          </cell>
          <cell r="H24">
            <v>313.3457769482035</v>
          </cell>
          <cell r="I24">
            <v>516.6383701188455</v>
          </cell>
          <cell r="J24">
            <v>434.81848184818483</v>
          </cell>
          <cell r="K24">
            <v>339.86128110975113</v>
          </cell>
          <cell r="L24">
            <v>488.8888888888889</v>
          </cell>
          <cell r="M24">
            <v>559.3548387096774</v>
          </cell>
          <cell r="N24">
            <v>594.4055944055945</v>
          </cell>
        </row>
        <row r="25">
          <cell r="D25">
            <v>506.1800796812749</v>
          </cell>
          <cell r="E25">
            <v>384.97229916897504</v>
          </cell>
          <cell r="F25">
            <v>640.0</v>
          </cell>
          <cell r="G25">
            <v>600.0</v>
          </cell>
          <cell r="H25">
            <v>290.0</v>
          </cell>
          <cell r="I25">
            <v>515.0</v>
          </cell>
          <cell r="J25">
            <v>410.0</v>
          </cell>
          <cell r="K25">
            <v>330.0</v>
          </cell>
          <cell r="L25">
            <v>480.0</v>
          </cell>
          <cell r="M25">
            <v>550.0</v>
          </cell>
          <cell r="N25">
            <v>612.2377622377624</v>
          </cell>
        </row>
        <row r="26">
          <cell r="D26">
            <v>245.0</v>
          </cell>
          <cell r="E26">
            <v>320.0</v>
          </cell>
          <cell r="F26">
            <v>660.0</v>
          </cell>
          <cell r="G26">
            <v>606.0</v>
          </cell>
          <cell r="H26">
            <v>346.0</v>
          </cell>
          <cell r="I26">
            <v>520.0</v>
          </cell>
          <cell r="J26">
            <v>390.0</v>
          </cell>
          <cell r="K26">
            <v>370.0</v>
          </cell>
          <cell r="L26">
            <v>440.0</v>
          </cell>
          <cell r="M26">
            <v>635.0</v>
          </cell>
          <cell r="N26">
            <v>550.0</v>
          </cell>
        </row>
        <row r="27">
          <cell r="D27">
            <v>465.0</v>
          </cell>
          <cell r="E27">
            <v>400.0</v>
          </cell>
          <cell r="F27">
            <v>585.0</v>
          </cell>
          <cell r="G27">
            <v>546.0</v>
          </cell>
          <cell r="H27">
            <v>375.0</v>
          </cell>
          <cell r="I27">
            <v>525.0</v>
          </cell>
          <cell r="J27">
            <v>400.0</v>
          </cell>
          <cell r="K27">
            <v>315.0</v>
          </cell>
          <cell r="L27">
            <v>426.0</v>
          </cell>
          <cell r="M27">
            <v>623.0</v>
          </cell>
          <cell r="N27">
            <v>500.0</v>
          </cell>
        </row>
        <row r="28">
          <cell r="D28">
            <v>260.0</v>
          </cell>
          <cell r="E28">
            <v>270.0</v>
          </cell>
          <cell r="F28">
            <v>626.6573736321001</v>
          </cell>
          <cell r="G28">
            <v>590.0</v>
          </cell>
          <cell r="H28">
            <v>385.0</v>
          </cell>
          <cell r="I28">
            <v>525.0</v>
          </cell>
          <cell r="J28">
            <v>433.72137555052433</v>
          </cell>
          <cell r="K28">
            <v>467.0</v>
          </cell>
          <cell r="L28">
            <v>590.0</v>
          </cell>
          <cell r="M28">
            <v>610.0</v>
          </cell>
          <cell r="N28">
            <v>555.0</v>
          </cell>
        </row>
        <row r="30">
          <cell r="D30">
            <v>265.2</v>
          </cell>
          <cell r="E30">
            <v>275.4</v>
          </cell>
          <cell r="F30">
            <v>639.1905211047421</v>
          </cell>
          <cell r="G30">
            <v>601.8</v>
          </cell>
          <cell r="H30">
            <v>392.7</v>
          </cell>
          <cell r="I30">
            <v>535.5</v>
          </cell>
          <cell r="J30">
            <v>442.3958030615348</v>
          </cell>
          <cell r="K30">
            <v>476.34000000000003</v>
          </cell>
          <cell r="L30">
            <v>601.8</v>
          </cell>
          <cell r="M30">
            <v>622.2</v>
          </cell>
          <cell r="N30">
            <v>566.1</v>
          </cell>
        </row>
        <row r="31">
          <cell r="D31">
            <v>254.79999999999998</v>
          </cell>
          <cell r="E31">
            <v>264.6</v>
          </cell>
          <cell r="F31">
            <v>614.1242261594581</v>
          </cell>
          <cell r="G31">
            <v>578.2</v>
          </cell>
          <cell r="H31">
            <v>377.3</v>
          </cell>
          <cell r="I31">
            <v>514.5</v>
          </cell>
          <cell r="J31">
            <v>425.04694803951384</v>
          </cell>
          <cell r="K31">
            <v>457.65999999999997</v>
          </cell>
          <cell r="L31">
            <v>578.2</v>
          </cell>
          <cell r="M31">
            <v>597.8</v>
          </cell>
          <cell r="N31">
            <v>543.9</v>
          </cell>
        </row>
        <row r="33">
          <cell r="D33">
            <v>260.0</v>
          </cell>
          <cell r="E33">
            <v>270.0</v>
          </cell>
          <cell r="F33">
            <v>626.6573736321001</v>
          </cell>
          <cell r="G33">
            <v>590.0</v>
          </cell>
          <cell r="H33">
            <v>477.4905882352941</v>
          </cell>
          <cell r="I33">
            <v>525.0</v>
          </cell>
          <cell r="J33">
            <v>433.72137555052433</v>
          </cell>
          <cell r="K33">
            <v>467.0</v>
          </cell>
          <cell r="L33">
            <v>590.0</v>
          </cell>
          <cell r="M33">
            <v>610.0</v>
          </cell>
          <cell r="N33">
            <v>555.0</v>
          </cell>
        </row>
        <row r="36">
          <cell r="D36">
            <v>370.0</v>
          </cell>
          <cell r="E36">
            <v>255.0</v>
          </cell>
          <cell r="F36">
            <v>730.0</v>
          </cell>
          <cell r="G36">
            <v>615.0</v>
          </cell>
          <cell r="H36">
            <v>350.0</v>
          </cell>
          <cell r="I36">
            <v>480.0</v>
          </cell>
          <cell r="J36">
            <v>410.0</v>
          </cell>
          <cell r="K36">
            <v>417.0</v>
          </cell>
          <cell r="L36">
            <v>550.0</v>
          </cell>
          <cell r="M36">
            <v>595.4709677419355</v>
          </cell>
          <cell r="N36">
            <v>562.3286713286714</v>
          </cell>
        </row>
        <row r="37">
          <cell r="D37">
            <v>365.0</v>
          </cell>
          <cell r="E37">
            <v>308.3333333333333</v>
          </cell>
          <cell r="F37">
            <v>647.2191245440334</v>
          </cell>
          <cell r="G37">
            <v>583.6666666666666</v>
          </cell>
          <cell r="H37">
            <v>370.0</v>
          </cell>
          <cell r="I37">
            <v>510.0</v>
          </cell>
          <cell r="J37">
            <v>414.57379185017476</v>
          </cell>
          <cell r="K37">
            <v>399.6666666666667</v>
          </cell>
          <cell r="L37">
            <v>522.0</v>
          </cell>
          <cell r="M37">
            <v>609.4903225806452</v>
          </cell>
          <cell r="N37">
            <v>539.1095571095572</v>
          </cell>
        </row>
      </sheetData>
      <sheetData sheetId="7"/>
      <sheetData sheetId="8">
        <row r="5">
          <cell r="D5">
            <v>474.0</v>
          </cell>
          <cell r="E5">
            <v>555.0</v>
          </cell>
          <cell r="F5">
            <v>510.0</v>
          </cell>
          <cell r="G5">
            <v>1615.0</v>
          </cell>
          <cell r="H5">
            <v>3077.0</v>
          </cell>
          <cell r="I5">
            <v>506.0</v>
          </cell>
          <cell r="J5">
            <v>1022.0</v>
          </cell>
          <cell r="K5">
            <v>0.0</v>
          </cell>
          <cell r="L5">
            <v>560.0</v>
          </cell>
          <cell r="M5">
            <v>193.0</v>
          </cell>
          <cell r="N5">
            <v>64.0</v>
          </cell>
        </row>
        <row r="6">
          <cell r="D6">
            <v>600.0</v>
          </cell>
          <cell r="E6">
            <v>610.0</v>
          </cell>
          <cell r="F6">
            <v>347.0</v>
          </cell>
          <cell r="G6">
            <v>1687.0</v>
          </cell>
          <cell r="H6">
            <v>2980.0</v>
          </cell>
          <cell r="I6">
            <v>623.0</v>
          </cell>
          <cell r="J6">
            <v>1002.0</v>
          </cell>
          <cell r="K6">
            <v>0.0</v>
          </cell>
          <cell r="L6">
            <v>591.0</v>
          </cell>
          <cell r="M6">
            <v>200.0</v>
          </cell>
          <cell r="N6">
            <v>90.0</v>
          </cell>
        </row>
        <row r="7">
          <cell r="D7">
            <v>449.0</v>
          </cell>
          <cell r="E7">
            <v>519.0</v>
          </cell>
          <cell r="F7">
            <v>386.0</v>
          </cell>
          <cell r="G7">
            <v>1634.0</v>
          </cell>
          <cell r="H7">
            <v>2800.0</v>
          </cell>
          <cell r="I7">
            <v>545.0</v>
          </cell>
          <cell r="J7">
            <v>803.0</v>
          </cell>
          <cell r="K7">
            <v>0.0</v>
          </cell>
          <cell r="L7">
            <v>393.0</v>
          </cell>
          <cell r="M7">
            <v>85.0</v>
          </cell>
          <cell r="N7">
            <v>53.0</v>
          </cell>
        </row>
        <row r="8">
          <cell r="D8">
            <v>452.0</v>
          </cell>
          <cell r="E8">
            <v>526.0</v>
          </cell>
          <cell r="F8">
            <v>344.0</v>
          </cell>
          <cell r="G8">
            <v>1647.0</v>
          </cell>
          <cell r="H8">
            <v>2766.0</v>
          </cell>
          <cell r="I8">
            <v>591.0</v>
          </cell>
          <cell r="J8">
            <v>837.0</v>
          </cell>
          <cell r="K8">
            <v>0.0</v>
          </cell>
          <cell r="L8">
            <v>313.0</v>
          </cell>
          <cell r="M8">
            <v>103.0</v>
          </cell>
          <cell r="N8">
            <v>51.0</v>
          </cell>
        </row>
        <row r="9">
          <cell r="D9">
            <v>509.0</v>
          </cell>
          <cell r="E9">
            <v>621.0</v>
          </cell>
          <cell r="F9">
            <v>438.0</v>
          </cell>
          <cell r="G9">
            <v>1906.0</v>
          </cell>
          <cell r="H9">
            <v>2840.0</v>
          </cell>
          <cell r="I9">
            <v>576.0</v>
          </cell>
          <cell r="J9">
            <v>1178.0</v>
          </cell>
          <cell r="K9">
            <v>0.0</v>
          </cell>
          <cell r="L9">
            <v>521.0</v>
          </cell>
          <cell r="M9">
            <v>129.0</v>
          </cell>
          <cell r="N9">
            <v>68.0</v>
          </cell>
        </row>
        <row r="10">
          <cell r="D10">
            <v>557.0</v>
          </cell>
          <cell r="E10">
            <v>583.0</v>
          </cell>
          <cell r="F10">
            <v>471.0</v>
          </cell>
          <cell r="G10">
            <v>1908.0</v>
          </cell>
          <cell r="H10">
            <v>2875.0</v>
          </cell>
          <cell r="I10">
            <v>620.0</v>
          </cell>
          <cell r="J10">
            <v>1033.0</v>
          </cell>
          <cell r="K10">
            <v>0.0</v>
          </cell>
          <cell r="L10">
            <v>413.0</v>
          </cell>
          <cell r="M10">
            <v>140.0</v>
          </cell>
          <cell r="N10">
            <v>79.0</v>
          </cell>
        </row>
        <row r="11">
          <cell r="D11">
            <v>607.0</v>
          </cell>
          <cell r="E11">
            <v>530.0</v>
          </cell>
          <cell r="F11">
            <v>350.0</v>
          </cell>
          <cell r="G11">
            <v>2390.0</v>
          </cell>
          <cell r="H11">
            <v>3107.0</v>
          </cell>
          <cell r="I11">
            <v>639.0</v>
          </cell>
          <cell r="J11">
            <v>972.0</v>
          </cell>
          <cell r="K11">
            <v>0.0</v>
          </cell>
          <cell r="L11">
            <v>378.0</v>
          </cell>
          <cell r="M11">
            <v>100.0</v>
          </cell>
          <cell r="N11">
            <v>71.0</v>
          </cell>
        </row>
        <row r="12">
          <cell r="D12">
            <v>604.0</v>
          </cell>
          <cell r="E12">
            <v>483.0</v>
          </cell>
          <cell r="F12">
            <v>339.0</v>
          </cell>
          <cell r="G12">
            <v>2422.0</v>
          </cell>
          <cell r="H12">
            <v>3194.0</v>
          </cell>
          <cell r="I12">
            <v>630.0</v>
          </cell>
          <cell r="J12">
            <v>1138.0</v>
          </cell>
          <cell r="K12">
            <v>0.0</v>
          </cell>
          <cell r="L12">
            <v>402.0</v>
          </cell>
          <cell r="M12">
            <v>119.0</v>
          </cell>
          <cell r="N12">
            <v>108.0</v>
          </cell>
        </row>
        <row r="13">
          <cell r="D13">
            <v>511.0</v>
          </cell>
          <cell r="E13">
            <v>507.0</v>
          </cell>
          <cell r="F13">
            <v>444.0</v>
          </cell>
          <cell r="G13">
            <v>2625.0</v>
          </cell>
          <cell r="H13">
            <v>3503.0</v>
          </cell>
          <cell r="I13">
            <v>611.0</v>
          </cell>
          <cell r="J13">
            <v>1475.0</v>
          </cell>
          <cell r="K13">
            <v>0.0</v>
          </cell>
          <cell r="L13">
            <v>455.0</v>
          </cell>
          <cell r="M13">
            <v>104.0</v>
          </cell>
          <cell r="N13">
            <v>75.0</v>
          </cell>
        </row>
        <row r="14">
          <cell r="D14">
            <v>530.0</v>
          </cell>
          <cell r="E14">
            <v>492.0</v>
          </cell>
          <cell r="F14">
            <v>335.0</v>
          </cell>
          <cell r="G14">
            <v>2633.0</v>
          </cell>
          <cell r="H14">
            <v>3973.0</v>
          </cell>
          <cell r="I14">
            <v>650.0</v>
          </cell>
          <cell r="J14">
            <v>1776.0</v>
          </cell>
          <cell r="K14">
            <v>0.0</v>
          </cell>
          <cell r="L14">
            <v>545.0</v>
          </cell>
          <cell r="M14">
            <v>120.0</v>
          </cell>
          <cell r="N14">
            <v>119.0</v>
          </cell>
        </row>
        <row r="15">
          <cell r="D15">
            <v>560.0</v>
          </cell>
          <cell r="E15">
            <v>641.0</v>
          </cell>
          <cell r="F15">
            <v>470.0</v>
          </cell>
          <cell r="G15">
            <v>2962.0</v>
          </cell>
          <cell r="H15">
            <v>4126.0</v>
          </cell>
          <cell r="I15">
            <v>706.0</v>
          </cell>
          <cell r="J15">
            <v>1879.0</v>
          </cell>
          <cell r="K15">
            <v>0.0</v>
          </cell>
          <cell r="L15">
            <v>554.0</v>
          </cell>
          <cell r="M15">
            <v>133.0</v>
          </cell>
          <cell r="N15">
            <v>148.0</v>
          </cell>
        </row>
        <row r="16">
          <cell r="D16">
            <v>480.0</v>
          </cell>
          <cell r="E16">
            <v>614.0</v>
          </cell>
          <cell r="F16">
            <v>450.0</v>
          </cell>
          <cell r="G16">
            <v>2497.0</v>
          </cell>
          <cell r="H16">
            <v>4146.0</v>
          </cell>
          <cell r="I16">
            <v>610.0</v>
          </cell>
          <cell r="J16">
            <v>2400.0</v>
          </cell>
          <cell r="K16">
            <v>0.0</v>
          </cell>
          <cell r="L16">
            <v>485.0</v>
          </cell>
          <cell r="M16">
            <v>128.0</v>
          </cell>
          <cell r="N16">
            <v>170.0</v>
          </cell>
        </row>
        <row r="17">
          <cell r="D17">
            <v>446.0</v>
          </cell>
          <cell r="E17">
            <v>536.0</v>
          </cell>
          <cell r="F17">
            <v>393.0</v>
          </cell>
          <cell r="G17">
            <v>2519.0</v>
          </cell>
          <cell r="H17">
            <v>4192.0</v>
          </cell>
          <cell r="I17">
            <v>514.0</v>
          </cell>
          <cell r="J17">
            <v>2389.0</v>
          </cell>
          <cell r="K17">
            <v>0.0</v>
          </cell>
          <cell r="L17">
            <v>662.0</v>
          </cell>
          <cell r="M17">
            <v>152.0</v>
          </cell>
          <cell r="N17">
            <v>167.0</v>
          </cell>
        </row>
        <row r="18">
          <cell r="D18">
            <v>420.0</v>
          </cell>
          <cell r="E18">
            <v>648.0</v>
          </cell>
          <cell r="F18">
            <v>487.0</v>
          </cell>
          <cell r="G18">
            <v>2773.0</v>
          </cell>
          <cell r="H18">
            <v>4190.0</v>
          </cell>
          <cell r="I18">
            <v>574.0</v>
          </cell>
          <cell r="J18">
            <v>2534.0</v>
          </cell>
          <cell r="K18">
            <v>0.0</v>
          </cell>
          <cell r="L18">
            <v>875.0</v>
          </cell>
          <cell r="M18">
            <v>187.0</v>
          </cell>
          <cell r="N18">
            <v>158.0</v>
          </cell>
        </row>
        <row r="19">
          <cell r="D19">
            <v>339.0</v>
          </cell>
          <cell r="E19">
            <v>615.0</v>
          </cell>
          <cell r="F19">
            <v>448.0</v>
          </cell>
          <cell r="G19">
            <v>2722.0</v>
          </cell>
          <cell r="H19">
            <v>4207.0</v>
          </cell>
          <cell r="I19">
            <v>563.0</v>
          </cell>
          <cell r="J19">
            <v>2439.0</v>
          </cell>
          <cell r="K19">
            <v>0.0</v>
          </cell>
          <cell r="L19">
            <v>642.0</v>
          </cell>
          <cell r="M19">
            <v>142.0</v>
          </cell>
          <cell r="N19">
            <v>175.0</v>
          </cell>
        </row>
        <row r="20">
          <cell r="D20">
            <v>285.0</v>
          </cell>
          <cell r="E20">
            <v>570.0</v>
          </cell>
          <cell r="F20">
            <v>471.0</v>
          </cell>
          <cell r="G20">
            <v>2382.0</v>
          </cell>
          <cell r="H20">
            <v>3800.0</v>
          </cell>
          <cell r="I20">
            <v>599.0</v>
          </cell>
          <cell r="J20">
            <v>1881.0</v>
          </cell>
          <cell r="K20">
            <v>0.0</v>
          </cell>
          <cell r="L20">
            <v>510.0</v>
          </cell>
          <cell r="M20">
            <v>142.0</v>
          </cell>
          <cell r="N20">
            <v>186.0</v>
          </cell>
        </row>
        <row r="21">
          <cell r="D21">
            <v>291.0</v>
          </cell>
          <cell r="E21">
            <v>669.0</v>
          </cell>
          <cell r="F21">
            <v>584.0</v>
          </cell>
          <cell r="G21">
            <v>2623.0</v>
          </cell>
          <cell r="H21">
            <v>4207.0</v>
          </cell>
          <cell r="I21">
            <v>603.0</v>
          </cell>
          <cell r="J21">
            <v>2541.0</v>
          </cell>
          <cell r="K21">
            <v>0.0</v>
          </cell>
          <cell r="L21">
            <v>531.0</v>
          </cell>
          <cell r="M21">
            <v>185.0</v>
          </cell>
          <cell r="N21">
            <v>195.0</v>
          </cell>
        </row>
        <row r="22">
          <cell r="D22">
            <v>268.0</v>
          </cell>
          <cell r="E22">
            <v>708.0</v>
          </cell>
          <cell r="F22">
            <v>629.0</v>
          </cell>
          <cell r="G22">
            <v>2660.0</v>
          </cell>
          <cell r="H22">
            <v>4254.0</v>
          </cell>
          <cell r="I22">
            <v>614.0</v>
          </cell>
          <cell r="J22">
            <v>621.0</v>
          </cell>
          <cell r="K22">
            <v>1860.0</v>
          </cell>
          <cell r="L22">
            <v>548.0</v>
          </cell>
          <cell r="M22">
            <v>133.0</v>
          </cell>
          <cell r="N22">
            <v>208.0</v>
          </cell>
        </row>
        <row r="23">
          <cell r="D23">
            <v>248.0</v>
          </cell>
          <cell r="E23">
            <v>723.0</v>
          </cell>
          <cell r="F23">
            <v>760.0</v>
          </cell>
          <cell r="G23">
            <v>2655.0</v>
          </cell>
          <cell r="H23">
            <v>4491.0</v>
          </cell>
          <cell r="I23">
            <v>650.0</v>
          </cell>
          <cell r="J23">
            <v>657.0</v>
          </cell>
          <cell r="K23">
            <v>2127.0</v>
          </cell>
          <cell r="L23">
            <v>817.0</v>
          </cell>
          <cell r="M23">
            <v>170.0</v>
          </cell>
          <cell r="N23">
            <v>179.00000000000182</v>
          </cell>
        </row>
        <row r="24">
          <cell r="D24">
            <v>252.0</v>
          </cell>
          <cell r="E24">
            <v>740.0</v>
          </cell>
          <cell r="F24">
            <v>808.0</v>
          </cell>
          <cell r="G24">
            <v>2271.0</v>
          </cell>
          <cell r="H24">
            <v>4545.0</v>
          </cell>
          <cell r="I24">
            <v>588.0</v>
          </cell>
          <cell r="J24">
            <v>606.0</v>
          </cell>
          <cell r="K24">
            <v>2358.0</v>
          </cell>
          <cell r="L24">
            <v>819.9999999999999</v>
          </cell>
          <cell r="M24">
            <v>112.00000000000001</v>
          </cell>
          <cell r="N24">
            <v>186.00000000000182</v>
          </cell>
        </row>
        <row r="25">
          <cell r="D25">
            <v>251.0</v>
          </cell>
          <cell r="E25">
            <v>636.0</v>
          </cell>
          <cell r="F25">
            <v>756.0</v>
          </cell>
          <cell r="G25">
            <v>2284.0</v>
          </cell>
          <cell r="H25">
            <v>4410.0</v>
          </cell>
          <cell r="I25">
            <v>560.0</v>
          </cell>
          <cell r="J25">
            <v>554.0</v>
          </cell>
          <cell r="K25">
            <v>1889.0</v>
          </cell>
          <cell r="L25">
            <v>674.0</v>
          </cell>
          <cell r="M25">
            <v>148.0</v>
          </cell>
          <cell r="N25">
            <v>210.0</v>
          </cell>
        </row>
        <row r="26">
          <cell r="D26">
            <v>249.0</v>
          </cell>
          <cell r="E26">
            <v>575.0</v>
          </cell>
          <cell r="F26">
            <v>815.0</v>
          </cell>
          <cell r="G26">
            <v>2484.0</v>
          </cell>
          <cell r="H26">
            <v>4182.0</v>
          </cell>
          <cell r="I26">
            <v>595.0</v>
          </cell>
          <cell r="J26">
            <v>704.0</v>
          </cell>
          <cell r="K26">
            <v>1973.0</v>
          </cell>
          <cell r="L26">
            <v>949.0</v>
          </cell>
          <cell r="M26">
            <v>173.0</v>
          </cell>
          <cell r="N26">
            <v>228.00000000000182</v>
          </cell>
        </row>
        <row r="27">
          <cell r="D27">
            <v>214.0</v>
          </cell>
          <cell r="E27">
            <v>578.0</v>
          </cell>
          <cell r="F27">
            <v>790.0</v>
          </cell>
          <cell r="G27">
            <v>2683.0</v>
          </cell>
          <cell r="H27">
            <v>4234.0</v>
          </cell>
          <cell r="I27">
            <v>650.0</v>
          </cell>
          <cell r="J27">
            <v>422.0</v>
          </cell>
          <cell r="K27">
            <v>1818.0</v>
          </cell>
          <cell r="L27">
            <v>743.0</v>
          </cell>
          <cell r="M27">
            <v>130.0</v>
          </cell>
          <cell r="N27">
            <v>232.0</v>
          </cell>
        </row>
        <row r="28">
          <cell r="D28">
            <v>100.0</v>
          </cell>
          <cell r="E28">
            <v>476.0</v>
          </cell>
          <cell r="F28">
            <v>520.0</v>
          </cell>
          <cell r="G28">
            <v>2206.0</v>
          </cell>
          <cell r="H28">
            <v>4084.0000000000005</v>
          </cell>
          <cell r="I28">
            <v>620.0</v>
          </cell>
          <cell r="J28">
            <v>453.0</v>
          </cell>
          <cell r="K28">
            <v>1811.0</v>
          </cell>
          <cell r="L28">
            <v>667.0</v>
          </cell>
          <cell r="M28">
            <v>56.00000000000001</v>
          </cell>
          <cell r="N28">
            <v>176.0</v>
          </cell>
        </row>
        <row r="30">
          <cell r="D30">
            <v>102.0</v>
          </cell>
          <cell r="E30">
            <v>485.52</v>
          </cell>
          <cell r="F30">
            <v>530.4</v>
          </cell>
          <cell r="G30">
            <v>2250.12</v>
          </cell>
          <cell r="H30">
            <v>4165.68</v>
          </cell>
          <cell r="I30">
            <v>632.4</v>
          </cell>
          <cell r="J30">
            <v>462.06</v>
          </cell>
          <cell r="K30">
            <v>1847.22</v>
          </cell>
          <cell r="L30">
            <v>680.34</v>
          </cell>
          <cell r="M30">
            <v>57.12000000000001</v>
          </cell>
          <cell r="N30">
            <v>179.52</v>
          </cell>
        </row>
        <row r="31">
          <cell r="D31">
            <v>98.0</v>
          </cell>
          <cell r="E31">
            <v>466.48</v>
          </cell>
          <cell r="F31">
            <v>509.59999999999997</v>
          </cell>
          <cell r="G31">
            <v>2161.88</v>
          </cell>
          <cell r="H31">
            <v>4002.32</v>
          </cell>
          <cell r="I31">
            <v>607.6</v>
          </cell>
          <cell r="J31">
            <v>443.94</v>
          </cell>
          <cell r="K31">
            <v>1774.78</v>
          </cell>
          <cell r="L31">
            <v>653.66</v>
          </cell>
          <cell r="M31">
            <v>54.88</v>
          </cell>
          <cell r="N31">
            <v>172.48</v>
          </cell>
        </row>
        <row r="33">
          <cell r="D33">
            <v>100.0</v>
          </cell>
          <cell r="E33">
            <v>476.0</v>
          </cell>
          <cell r="F33">
            <v>520.0</v>
          </cell>
          <cell r="G33">
            <v>2206.0</v>
          </cell>
          <cell r="H33">
            <v>4084.0000000000005</v>
          </cell>
          <cell r="I33">
            <v>620.0</v>
          </cell>
          <cell r="J33">
            <v>453.0</v>
          </cell>
          <cell r="K33">
            <v>1811.0</v>
          </cell>
          <cell r="L33">
            <v>667.0</v>
          </cell>
          <cell r="M33">
            <v>56.00000000000001</v>
          </cell>
          <cell r="N33">
            <v>176.0</v>
          </cell>
        </row>
        <row r="36">
          <cell r="D36">
            <v>115.0</v>
          </cell>
          <cell r="E36">
            <v>418.0</v>
          </cell>
          <cell r="F36">
            <v>560.0</v>
          </cell>
          <cell r="G36">
            <v>1935.0</v>
          </cell>
          <cell r="H36">
            <v>3825.0</v>
          </cell>
          <cell r="I36">
            <v>640.0</v>
          </cell>
          <cell r="J36">
            <v>506.0</v>
          </cell>
          <cell r="K36">
            <v>1860.0</v>
          </cell>
          <cell r="L36">
            <v>740.0</v>
          </cell>
          <cell r="M36">
            <v>58.24000000000001</v>
          </cell>
          <cell r="N36">
            <v>160.0</v>
          </cell>
        </row>
        <row r="37">
          <cell r="D37">
            <v>110.4</v>
          </cell>
          <cell r="E37">
            <v>397.1</v>
          </cell>
          <cell r="F37">
            <v>588.0</v>
          </cell>
          <cell r="G37">
            <v>1896.3</v>
          </cell>
          <cell r="H37">
            <v>3786.75</v>
          </cell>
          <cell r="I37">
            <v>665.6</v>
          </cell>
          <cell r="J37">
            <v>521.18</v>
          </cell>
          <cell r="K37">
            <v>1934.4</v>
          </cell>
          <cell r="L37">
            <v>769.6</v>
          </cell>
          <cell r="M37">
            <v>59.98720000000001</v>
          </cell>
          <cell r="N37">
            <v>166.4</v>
          </cell>
        </row>
      </sheetData>
      <sheetData sheetId="9">
        <row r="27">
          <cell r="G27">
            <v>86.17164705882352</v>
          </cell>
          <cell r="H27">
            <v>93.3970588235294</v>
          </cell>
        </row>
        <row r="28">
          <cell r="H28">
            <v>92.49058823529413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8"/>
  <sheetViews>
    <sheetView workbookViewId="0">
      <selection activeCell="P22" sqref="P22:P33"/>
    </sheetView>
  </sheetViews>
  <sheetFormatPr defaultRowHeight="13.8" defaultColWidth="9"/>
  <cols>
    <col min="1" max="1" customWidth="1" bestFit="1" width="18.0" style="1"/>
    <col min="2" max="2" customWidth="1" width="10.441406" style="1"/>
    <col min="3" max="3" customWidth="1" bestFit="1" width="16.777344" style="2"/>
    <col min="4" max="4" customWidth="1" bestFit="1" width="18.21875" style="1"/>
    <col min="5" max="5" customWidth="0" width="9.21875" style="1"/>
    <col min="6" max="6" customWidth="1" bestFit="1" width="11.5546875" style="1"/>
    <col min="7" max="7" customWidth="0" width="9.21875" style="1"/>
    <col min="8" max="8" customWidth="1" bestFit="1" width="12.0" style="1"/>
    <col min="9" max="9" customWidth="1" bestFit="1" width="15.0" style="1"/>
    <col min="10" max="11" customWidth="0" width="9.21875" style="1"/>
    <col min="12" max="12" customWidth="1" bestFit="1" width="13.21875" style="1"/>
    <col min="13" max="13" customWidth="1" width="14.441406" style="1"/>
    <col min="14" max="14" customWidth="1" width="10.0" style="1"/>
    <col min="15" max="20" customWidth="0" width="9.21875" style="1"/>
    <col min="21" max="22" customWidth="1" bestFit="1" width="9.5546875" style="1"/>
    <col min="23" max="16384" customWidth="0" width="9.21875" style="1"/>
  </cols>
  <sheetData>
    <row r="1" spans="8:8">
      <c r="A1" s="1" t="s">
        <v>0</v>
      </c>
      <c r="C1" s="2" t="s">
        <v>1</v>
      </c>
    </row>
    <row r="2" spans="8:8">
      <c r="A2" s="1" t="s">
        <v>2</v>
      </c>
      <c r="C2" s="2" t="s">
        <v>3</v>
      </c>
    </row>
    <row r="3" spans="8:8">
      <c r="A3" s="1" t="s">
        <v>4</v>
      </c>
      <c r="C3" s="2" t="s">
        <v>5</v>
      </c>
      <c r="G3" s="1">
        <f>'[1]Cotton_Production'!G27</f>
        <v>86.17164705882352</v>
      </c>
      <c r="H3" s="1">
        <f>'[1]Cotton_Production'!H27</f>
        <v>93.3970588235294</v>
      </c>
    </row>
    <row r="4" spans="8:8">
      <c r="A4" s="3" t="s">
        <v>6</v>
      </c>
      <c r="B4" s="3" t="s">
        <v>7</v>
      </c>
      <c r="C4" s="4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4" t="s">
        <v>20</v>
      </c>
    </row>
    <row r="5" spans="8:8">
      <c r="A5" s="1" t="s">
        <v>21</v>
      </c>
      <c r="B5" s="1" t="s">
        <v>22</v>
      </c>
      <c r="C5" s="2" t="s">
        <v>23</v>
      </c>
      <c r="D5" s="5">
        <v>341.0</v>
      </c>
      <c r="E5" s="5">
        <v>306.0</v>
      </c>
      <c r="F5" s="5">
        <v>358.0</v>
      </c>
      <c r="G5" s="5">
        <v>350.0</v>
      </c>
      <c r="H5" s="5">
        <v>101.0</v>
      </c>
      <c r="I5" s="5">
        <v>647.0</v>
      </c>
      <c r="J5" s="5">
        <v>420.0</v>
      </c>
      <c r="K5" s="5">
        <v>0.0</v>
      </c>
      <c r="L5" s="5">
        <v>235.0</v>
      </c>
      <c r="M5" s="5">
        <v>484.0</v>
      </c>
      <c r="N5" s="5">
        <v>266.0</v>
      </c>
      <c r="O5" s="5">
        <f>SUMPRODUCT(D5:N5,'[1]Cotton_Area'!D5:N5)/SUM('[1]Cotton_Area'!D5:N5)</f>
        <v>278.5364972014925</v>
      </c>
    </row>
    <row r="6" spans="8:8">
      <c r="A6" s="1" t="s">
        <v>24</v>
      </c>
      <c r="B6" s="1" t="s">
        <v>22</v>
      </c>
      <c r="C6" s="2" t="s">
        <v>25</v>
      </c>
      <c r="D6" s="5">
        <v>262.0</v>
      </c>
      <c r="E6" s="5">
        <v>153.0</v>
      </c>
      <c r="F6" s="5">
        <v>343.0</v>
      </c>
      <c r="G6" s="5">
        <v>328.0</v>
      </c>
      <c r="H6" s="5">
        <v>195.0</v>
      </c>
      <c r="I6" s="5">
        <v>546.0</v>
      </c>
      <c r="J6" s="5">
        <v>454.0</v>
      </c>
      <c r="K6" s="5">
        <v>0.0</v>
      </c>
      <c r="L6" s="5">
        <v>201.0</v>
      </c>
      <c r="M6" s="5">
        <v>425.0</v>
      </c>
      <c r="N6" s="5">
        <v>142.0</v>
      </c>
      <c r="O6" s="5">
        <f>SUMPRODUCT(D6:N6,'[1]Cotton_Area'!D6:N6)/SUM('[1]Cotton_Area'!D6:N6)</f>
        <v>288.1585337915235</v>
      </c>
      <c r="P6" s="6"/>
      <c r="Q6" s="6"/>
      <c r="R6" s="6"/>
    </row>
    <row r="7" spans="8:8">
      <c r="A7" s="1" t="s">
        <v>26</v>
      </c>
      <c r="B7" s="1" t="s">
        <v>22</v>
      </c>
      <c r="C7" s="2" t="s">
        <v>27</v>
      </c>
      <c r="D7" s="5">
        <v>284.0</v>
      </c>
      <c r="E7" s="5">
        <v>287.0</v>
      </c>
      <c r="F7" s="5">
        <v>220.0</v>
      </c>
      <c r="G7" s="5">
        <v>317.0</v>
      </c>
      <c r="H7" s="5">
        <v>158.0</v>
      </c>
      <c r="I7" s="5">
        <v>561.0</v>
      </c>
      <c r="J7" s="5">
        <v>418.0</v>
      </c>
      <c r="K7" s="5">
        <v>0.0</v>
      </c>
      <c r="L7" s="5">
        <v>216.0</v>
      </c>
      <c r="M7" s="5">
        <v>600.0</v>
      </c>
      <c r="N7" s="5">
        <v>321.0</v>
      </c>
      <c r="O7" s="5">
        <f>SUMPRODUCT(D7:N7,'[1]Cotton_Area'!D7:N7)/SUM('[1]Cotton_Area'!D7:N7)</f>
        <v>275.99673927220556</v>
      </c>
      <c r="P7" s="6"/>
      <c r="Q7" s="6"/>
      <c r="R7" s="6"/>
    </row>
    <row r="8" spans="8:8">
      <c r="A8" s="1" t="s">
        <v>28</v>
      </c>
      <c r="B8" s="1" t="s">
        <v>22</v>
      </c>
      <c r="C8" s="2" t="s">
        <v>29</v>
      </c>
      <c r="D8" s="5">
        <v>389.0</v>
      </c>
      <c r="E8" s="5">
        <v>372.0</v>
      </c>
      <c r="F8" s="5">
        <v>452.0</v>
      </c>
      <c r="G8" s="5">
        <v>516.0</v>
      </c>
      <c r="H8" s="5">
        <v>191.0</v>
      </c>
      <c r="I8" s="5">
        <v>565.0</v>
      </c>
      <c r="J8" s="5">
        <v>557.0</v>
      </c>
      <c r="K8" s="5">
        <v>0.0</v>
      </c>
      <c r="L8" s="5">
        <v>228.0</v>
      </c>
      <c r="M8" s="5">
        <v>619.0</v>
      </c>
      <c r="N8" s="5">
        <v>333.0</v>
      </c>
      <c r="O8" s="5">
        <f>SUMPRODUCT(D8:N8,'[1]Cotton_Area'!D8:N8)/SUM('[1]Cotton_Area'!D8:N8)</f>
        <v>374.49200524246396</v>
      </c>
      <c r="P8" s="6"/>
      <c r="Q8" s="6"/>
      <c r="R8" s="6"/>
    </row>
    <row r="9" spans="8:8">
      <c r="A9" s="1" t="s">
        <v>30</v>
      </c>
      <c r="B9" s="1" t="s">
        <v>22</v>
      </c>
      <c r="C9" s="2" t="s">
        <v>31</v>
      </c>
      <c r="D9" s="5">
        <v>551.0</v>
      </c>
      <c r="E9" s="5">
        <v>424.0</v>
      </c>
      <c r="F9" s="5">
        <v>427.0</v>
      </c>
      <c r="G9" s="5">
        <v>651.0</v>
      </c>
      <c r="H9" s="5">
        <v>311.0</v>
      </c>
      <c r="I9" s="5">
        <v>572.0</v>
      </c>
      <c r="J9" s="5">
        <v>469.0</v>
      </c>
      <c r="K9" s="5">
        <v>0.0</v>
      </c>
      <c r="L9" s="5">
        <v>261.0</v>
      </c>
      <c r="M9" s="5">
        <v>725.0</v>
      </c>
      <c r="N9" s="5">
        <v>250.0</v>
      </c>
      <c r="O9" s="5">
        <f>SUMPRODUCT(D9:N9,'[1]Cotton_Area'!D9:N9)/SUM('[1]Cotton_Area'!D9:N9)</f>
        <v>453.368427043023</v>
      </c>
      <c r="P9" s="6"/>
      <c r="Q9" s="6"/>
      <c r="R9" s="6"/>
    </row>
    <row r="10" spans="8:8">
      <c r="A10" s="1" t="s">
        <v>32</v>
      </c>
      <c r="B10" s="1" t="s">
        <v>22</v>
      </c>
      <c r="C10" s="2" t="s">
        <v>33</v>
      </c>
      <c r="D10" s="5">
        <v>610.0</v>
      </c>
      <c r="E10" s="5">
        <v>379.0</v>
      </c>
      <c r="F10" s="5">
        <v>397.0</v>
      </c>
      <c r="G10" s="5">
        <v>794.0</v>
      </c>
      <c r="H10" s="5">
        <v>213.0</v>
      </c>
      <c r="I10" s="5">
        <v>494.0</v>
      </c>
      <c r="J10" s="5">
        <v>527.0</v>
      </c>
      <c r="K10" s="5">
        <v>0.0</v>
      </c>
      <c r="L10" s="5">
        <v>268.0</v>
      </c>
      <c r="M10" s="5">
        <v>668.0</v>
      </c>
      <c r="N10" s="5">
        <v>215.0</v>
      </c>
      <c r="O10" s="5">
        <f>SUMPRODUCT(D10:N10,'[1]Cotton_Area'!D10:N10)/SUM('[1]Cotton_Area'!D10:N10)</f>
        <v>454.76448899642816</v>
      </c>
      <c r="P10" s="6"/>
      <c r="Q10" s="6"/>
      <c r="R10" s="6"/>
    </row>
    <row r="11" spans="8:8">
      <c r="A11" s="1" t="s">
        <v>34</v>
      </c>
      <c r="B11" s="1" t="s">
        <v>22</v>
      </c>
      <c r="C11" s="2" t="s">
        <v>35</v>
      </c>
      <c r="D11" s="5">
        <v>672.0</v>
      </c>
      <c r="E11" s="5">
        <v>481.0</v>
      </c>
      <c r="F11" s="5">
        <v>437.0</v>
      </c>
      <c r="G11" s="5">
        <v>733.0</v>
      </c>
      <c r="H11" s="5">
        <v>274.0</v>
      </c>
      <c r="I11" s="5">
        <v>505.0</v>
      </c>
      <c r="J11" s="5">
        <v>630.0</v>
      </c>
      <c r="K11" s="5">
        <v>0.0</v>
      </c>
      <c r="L11" s="5">
        <v>270.0</v>
      </c>
      <c r="M11" s="5">
        <v>850.0</v>
      </c>
      <c r="N11" s="5">
        <v>239.0</v>
      </c>
      <c r="O11" s="5">
        <f>SUMPRODUCT(D11:N11,'[1]Cotton_Area'!D11:N11)/SUM('[1]Cotton_Area'!D11:N11)</f>
        <v>498.4750656167979</v>
      </c>
      <c r="P11" s="6"/>
      <c r="Q11" s="6"/>
      <c r="R11" s="6"/>
    </row>
    <row r="12" spans="8:8">
      <c r="A12" s="1" t="s">
        <v>36</v>
      </c>
      <c r="B12" s="1" t="s">
        <v>22</v>
      </c>
      <c r="C12" s="2" t="s">
        <v>37</v>
      </c>
      <c r="D12" s="5">
        <v>619.0</v>
      </c>
      <c r="E12" s="5">
        <v>563.0</v>
      </c>
      <c r="F12" s="5">
        <v>451.0</v>
      </c>
      <c r="G12" s="5">
        <v>786.0</v>
      </c>
      <c r="H12" s="5">
        <v>330.0</v>
      </c>
      <c r="I12" s="5">
        <v>567.0</v>
      </c>
      <c r="J12" s="5">
        <v>687.0</v>
      </c>
      <c r="K12" s="5">
        <v>0.0</v>
      </c>
      <c r="L12" s="5">
        <v>338.0</v>
      </c>
      <c r="M12" s="5">
        <v>714.0</v>
      </c>
      <c r="N12" s="5">
        <v>315.0</v>
      </c>
      <c r="O12" s="5">
        <f>SUMPRODUCT(D12:N12,'[1]Cotton_Area'!D12:N12)/SUM('[1]Cotton_Area'!D12:N12)</f>
        <v>545.6387329166225</v>
      </c>
      <c r="P12" s="6"/>
      <c r="Q12" s="6"/>
      <c r="R12" s="6"/>
    </row>
    <row r="13" spans="8:8">
      <c r="A13" s="1" t="s">
        <v>38</v>
      </c>
      <c r="B13" s="1" t="s">
        <v>22</v>
      </c>
      <c r="C13" s="2" t="s">
        <v>39</v>
      </c>
      <c r="D13" s="5">
        <v>554.0</v>
      </c>
      <c r="E13" s="5">
        <v>523.0</v>
      </c>
      <c r="F13" s="5">
        <v>572.0</v>
      </c>
      <c r="G13" s="5">
        <v>633.0</v>
      </c>
      <c r="H13" s="5">
        <v>336.0</v>
      </c>
      <c r="I13" s="5">
        <v>467.0</v>
      </c>
      <c r="J13" s="5">
        <v>670.0</v>
      </c>
      <c r="K13" s="5">
        <v>0.0</v>
      </c>
      <c r="L13" s="5">
        <v>392.0</v>
      </c>
      <c r="M13" s="5">
        <v>708.0</v>
      </c>
      <c r="N13" s="5">
        <v>347.0</v>
      </c>
      <c r="O13" s="5">
        <f>SUMPRODUCT(D13:N13,'[1]Cotton_Area'!D13:N13)/SUM('[1]Cotton_Area'!D13:N13)</f>
        <v>503.63336566440347</v>
      </c>
      <c r="P13" s="6"/>
      <c r="Q13" s="6"/>
      <c r="R13" s="6"/>
    </row>
    <row r="14" spans="8:8">
      <c r="A14" s="1" t="s">
        <v>40</v>
      </c>
      <c r="B14" s="1" t="s">
        <v>22</v>
      </c>
      <c r="C14" s="2" t="s">
        <v>41</v>
      </c>
      <c r="D14" s="5">
        <v>593.0</v>
      </c>
      <c r="E14" s="5">
        <v>587.0</v>
      </c>
      <c r="F14" s="5">
        <v>513.0</v>
      </c>
      <c r="G14" s="5">
        <v>686.0</v>
      </c>
      <c r="H14" s="5">
        <v>379.0</v>
      </c>
      <c r="I14" s="5">
        <v>463.0</v>
      </c>
      <c r="J14" s="5">
        <v>567.0</v>
      </c>
      <c r="K14" s="5">
        <v>0.0</v>
      </c>
      <c r="L14" s="5">
        <v>346.0</v>
      </c>
      <c r="M14" s="5">
        <v>1003.0</v>
      </c>
      <c r="N14" s="5">
        <v>578.0</v>
      </c>
      <c r="O14" s="5">
        <f>SUMPRODUCT(D14:N14,'[1]Cotton_Area'!D14:N14)/SUM('[1]Cotton_Area'!D14:N14)</f>
        <v>516.6569408395238</v>
      </c>
      <c r="P14" s="6"/>
      <c r="Q14" s="6"/>
      <c r="R14" s="6"/>
    </row>
    <row r="15" spans="8:8">
      <c r="A15" s="1" t="s">
        <v>42</v>
      </c>
      <c r="B15" s="1" t="s">
        <v>22</v>
      </c>
      <c r="C15" s="2" t="s">
        <v>43</v>
      </c>
      <c r="D15" s="5">
        <v>607.0</v>
      </c>
      <c r="E15" s="5">
        <v>690.0</v>
      </c>
      <c r="F15" s="5">
        <v>651.0</v>
      </c>
      <c r="G15" s="5">
        <v>699.9999999999999</v>
      </c>
      <c r="H15" s="5">
        <v>313.0</v>
      </c>
      <c r="I15" s="5">
        <v>433.0</v>
      </c>
      <c r="J15" s="5">
        <v>543.0</v>
      </c>
      <c r="K15" s="5">
        <v>0.0</v>
      </c>
      <c r="L15" s="5">
        <v>459.99999999999994</v>
      </c>
      <c r="M15" s="5">
        <v>830.9999999999999</v>
      </c>
      <c r="N15" s="5">
        <v>630.0</v>
      </c>
      <c r="O15" s="5">
        <f>SUMPRODUCT(D15:N15,'[1]Cotton_Area'!D15:N15)/SUM('[1]Cotton_Area'!D15:N15)</f>
        <v>512.1615896214796</v>
      </c>
      <c r="P15" s="6"/>
      <c r="Q15" s="6"/>
      <c r="R15" s="6"/>
    </row>
    <row r="16" spans="8:8">
      <c r="A16" s="1" t="s">
        <v>44</v>
      </c>
      <c r="B16" s="1" t="s">
        <v>22</v>
      </c>
      <c r="C16" s="2" t="s">
        <v>45</v>
      </c>
      <c r="D16" s="5">
        <v>743.9999999999999</v>
      </c>
      <c r="E16" s="5">
        <v>720.0</v>
      </c>
      <c r="F16" s="5">
        <v>642.0000000000001</v>
      </c>
      <c r="G16" s="5">
        <v>633.0</v>
      </c>
      <c r="H16" s="5">
        <v>332.0</v>
      </c>
      <c r="I16" s="5">
        <v>531.0</v>
      </c>
      <c r="J16" s="5">
        <v>595.0</v>
      </c>
      <c r="K16" s="5">
        <v>0.0</v>
      </c>
      <c r="L16" s="5">
        <v>596.0</v>
      </c>
      <c r="M16" s="5">
        <v>797.0</v>
      </c>
      <c r="N16" s="5">
        <v>600.0</v>
      </c>
      <c r="O16" s="5">
        <f>SUMPRODUCT(D16:N16,'[1]Cotton_Area'!D16:N16)/SUM('[1]Cotton_Area'!D16:N16)</f>
        <v>525.0550083472455</v>
      </c>
      <c r="P16" s="6"/>
      <c r="Q16" s="6"/>
      <c r="R16" s="6"/>
    </row>
    <row r="17" spans="8:8">
      <c r="A17" s="1" t="s">
        <v>46</v>
      </c>
      <c r="B17" s="1" t="s">
        <v>22</v>
      </c>
      <c r="C17" s="2" t="s">
        <v>47</v>
      </c>
      <c r="D17" s="5">
        <v>800.0</v>
      </c>
      <c r="E17" s="5">
        <v>761.0</v>
      </c>
      <c r="F17" s="5">
        <v>606.0</v>
      </c>
      <c r="G17" s="5">
        <v>836.9999999999999</v>
      </c>
      <c r="H17" s="5">
        <v>341.0</v>
      </c>
      <c r="I17" s="5">
        <v>628.0</v>
      </c>
      <c r="J17" s="5">
        <v>550.0</v>
      </c>
      <c r="K17" s="5">
        <v>0.0</v>
      </c>
      <c r="L17" s="5">
        <v>591.0</v>
      </c>
      <c r="M17" s="5">
        <v>559.0</v>
      </c>
      <c r="N17" s="5">
        <v>611.0</v>
      </c>
      <c r="O17" s="5">
        <f>SUMPRODUCT(D17:N17,'[1]Cotton_Area'!D17:N17)/SUM('[1]Cotton_Area'!D17:N17)</f>
        <v>564.3874686716792</v>
      </c>
      <c r="P17" s="6"/>
      <c r="Q17" s="6"/>
      <c r="R17" s="6"/>
    </row>
    <row r="18" spans="8:8">
      <c r="A18" s="1" t="s">
        <v>48</v>
      </c>
      <c r="B18" s="1" t="s">
        <v>22</v>
      </c>
      <c r="C18" s="2" t="s">
        <v>49</v>
      </c>
      <c r="D18" s="5">
        <v>526.0</v>
      </c>
      <c r="E18" s="5">
        <v>603.0</v>
      </c>
      <c r="F18" s="5">
        <v>593.0</v>
      </c>
      <c r="G18" s="5">
        <v>687.0</v>
      </c>
      <c r="H18" s="5">
        <v>325.0</v>
      </c>
      <c r="I18" s="5">
        <v>563.0</v>
      </c>
      <c r="J18" s="5">
        <v>517.0</v>
      </c>
      <c r="K18" s="5">
        <v>0.0</v>
      </c>
      <c r="L18" s="5">
        <v>661.0</v>
      </c>
      <c r="M18" s="5">
        <v>545.0</v>
      </c>
      <c r="N18" s="5">
        <v>540.0</v>
      </c>
      <c r="O18" s="5">
        <f>SUMPRODUCT(D18:N18,'[1]Cotton_Area'!D18:N18)/SUM('[1]Cotton_Area'!D18:N18)</f>
        <v>511.1401214385801</v>
      </c>
      <c r="P18" s="6"/>
      <c r="Q18" s="6"/>
      <c r="R18" s="6"/>
    </row>
    <row r="19" spans="8:8">
      <c r="A19" s="1" t="s">
        <v>50</v>
      </c>
      <c r="B19" s="1" t="s">
        <v>22</v>
      </c>
      <c r="C19" s="2" t="s">
        <v>51</v>
      </c>
      <c r="D19" s="5">
        <v>313.0</v>
      </c>
      <c r="E19" s="5">
        <v>401.0</v>
      </c>
      <c r="F19" s="5">
        <v>569.0</v>
      </c>
      <c r="G19" s="5">
        <v>562.0</v>
      </c>
      <c r="H19" s="5">
        <v>307.0</v>
      </c>
      <c r="I19" s="5">
        <v>544.0</v>
      </c>
      <c r="J19" s="5">
        <v>570.0</v>
      </c>
      <c r="K19" s="5">
        <v>0.0</v>
      </c>
      <c r="L19" s="5">
        <v>516.0</v>
      </c>
      <c r="M19" s="5">
        <v>718.0</v>
      </c>
      <c r="N19" s="5">
        <v>490.0</v>
      </c>
      <c r="O19" s="5">
        <f>SUMPRODUCT(D19:N19,'[1]Cotton_Area'!D19:N19)/SUM('[1]Cotton_Area'!D19:N19)</f>
        <v>459.1951675886756</v>
      </c>
      <c r="P19" s="6"/>
      <c r="Q19" s="6"/>
      <c r="R19" s="6"/>
    </row>
    <row r="20" spans="8:8">
      <c r="A20" s="1" t="s">
        <v>52</v>
      </c>
      <c r="B20" s="1" t="s">
        <v>22</v>
      </c>
      <c r="C20" s="2" t="s">
        <v>53</v>
      </c>
      <c r="D20" s="5">
        <v>537.0</v>
      </c>
      <c r="E20" s="5">
        <v>611.0</v>
      </c>
      <c r="F20" s="5">
        <v>596.0</v>
      </c>
      <c r="G20" s="5">
        <v>678.0</v>
      </c>
      <c r="H20" s="5">
        <v>396.0</v>
      </c>
      <c r="I20" s="5">
        <v>582.0</v>
      </c>
      <c r="J20" s="5">
        <v>606.0</v>
      </c>
      <c r="K20" s="5">
        <v>0.0</v>
      </c>
      <c r="L20" s="5">
        <v>600.0</v>
      </c>
      <c r="M20" s="5">
        <v>599.0</v>
      </c>
      <c r="N20" s="5">
        <v>456.99999999999994</v>
      </c>
      <c r="O20" s="5">
        <f>SUMPRODUCT(D20:N20,'[1]Cotton_Area'!D20:N20)/SUM('[1]Cotton_Area'!D20:N20)</f>
        <v>541.8798263439867</v>
      </c>
      <c r="P20" s="6"/>
      <c r="Q20" s="6"/>
      <c r="R20" s="6"/>
    </row>
    <row r="21" spans="8:8">
      <c r="A21" s="1" t="s">
        <v>54</v>
      </c>
      <c r="B21" s="1" t="s">
        <v>22</v>
      </c>
      <c r="C21" s="2" t="s">
        <v>55</v>
      </c>
      <c r="D21" s="5">
        <v>672.0</v>
      </c>
      <c r="E21" s="5">
        <v>572.0</v>
      </c>
      <c r="F21" s="5">
        <v>640.0</v>
      </c>
      <c r="G21" s="5">
        <v>674.0</v>
      </c>
      <c r="H21" s="5">
        <v>343.0</v>
      </c>
      <c r="I21" s="5">
        <v>578.0</v>
      </c>
      <c r="J21" s="5">
        <v>505.0</v>
      </c>
      <c r="K21" s="5">
        <v>0.0</v>
      </c>
      <c r="L21" s="5">
        <v>576.0</v>
      </c>
      <c r="M21" s="5">
        <v>504.99999999999994</v>
      </c>
      <c r="N21" s="5">
        <v>482.0</v>
      </c>
      <c r="O21" s="5">
        <f>SUMPRODUCT(D21:N21,'[1]Cotton_Area'!D21:N21)/SUM('[1]Cotton_Area'!D21:N21)</f>
        <v>505.90498028803603</v>
      </c>
      <c r="P21" s="6"/>
      <c r="Q21" s="6"/>
      <c r="R21" s="6"/>
    </row>
    <row r="22" spans="8:8">
      <c r="A22" s="1" t="s">
        <v>56</v>
      </c>
      <c r="B22" s="1" t="s">
        <v>22</v>
      </c>
      <c r="C22" s="2" t="s">
        <v>57</v>
      </c>
      <c r="D22" s="5">
        <v>634.3283582089553</v>
      </c>
      <c r="E22" s="5">
        <v>552.2598870056497</v>
      </c>
      <c r="F22" s="5">
        <v>702.7027027027027</v>
      </c>
      <c r="G22" s="5">
        <v>559.2105263157895</v>
      </c>
      <c r="H22" s="5">
        <v>301.8359191349318</v>
      </c>
      <c r="I22" s="5">
        <v>667.2638436482084</v>
      </c>
      <c r="J22" s="5">
        <v>396.94041867954917</v>
      </c>
      <c r="K22" s="5">
        <v>393.0107526881721</v>
      </c>
      <c r="L22" s="5">
        <v>465.32846715328463</v>
      </c>
      <c r="M22" s="5">
        <v>639.0977443609023</v>
      </c>
      <c r="N22" s="5">
        <v>490.38461538461536</v>
      </c>
      <c r="O22" s="5">
        <f>SUMPRODUCT(D22:N22,'[1]Cotton_Area'!D22:N22)/SUM('[1]Cotton_Area'!D22:N22)</f>
        <v>448.1892345836999</v>
      </c>
      <c r="P22" s="6"/>
      <c r="Q22" s="6"/>
      <c r="R22" s="6"/>
    </row>
    <row r="23" spans="8:8">
      <c r="A23" s="1" t="s">
        <v>58</v>
      </c>
      <c r="B23" s="1" t="s">
        <v>22</v>
      </c>
      <c r="C23" s="2" t="s">
        <v>59</v>
      </c>
      <c r="D23" s="5">
        <v>651.2096774193549</v>
      </c>
      <c r="E23" s="5">
        <v>564.3153526970955</v>
      </c>
      <c r="F23" s="5">
        <v>581.578947368421</v>
      </c>
      <c r="G23" s="5">
        <v>576.1506276150627</v>
      </c>
      <c r="H23" s="5">
        <v>343.1156930126002</v>
      </c>
      <c r="I23" s="5">
        <v>502.4630541871921</v>
      </c>
      <c r="J23" s="5">
        <v>533.7883959044369</v>
      </c>
      <c r="K23" s="5">
        <v>523.2254400908575</v>
      </c>
      <c r="L23" s="5">
        <v>547.5548060708263</v>
      </c>
      <c r="M23" s="5">
        <v>629.6296296296297</v>
      </c>
      <c r="N23" s="5">
        <v>494.8356807511737</v>
      </c>
      <c r="O23" s="5">
        <f>SUMPRODUCT(D23:N23,'[1]Cotton_Area'!D23:N23)/SUM('[1]Cotton_Area'!D23:N23)</f>
        <v>483.43680837672224</v>
      </c>
      <c r="P23" s="6"/>
      <c r="Q23" s="6"/>
      <c r="R23" s="6"/>
    </row>
    <row r="24" spans="8:8">
      <c r="A24" s="1" t="s">
        <v>60</v>
      </c>
      <c r="B24" s="1" t="s">
        <v>22</v>
      </c>
      <c r="C24" s="2" t="s">
        <v>61</v>
      </c>
      <c r="D24" s="5">
        <v>703.0278884462151</v>
      </c>
      <c r="E24" s="5">
        <v>513.2963988919668</v>
      </c>
      <c r="F24" s="5">
        <v>641.7079207920792</v>
      </c>
      <c r="G24" s="5">
        <v>678.8064940763493</v>
      </c>
      <c r="H24" s="5">
        <v>313.3457769482035</v>
      </c>
      <c r="I24" s="5">
        <v>516.6383701188455</v>
      </c>
      <c r="J24" s="5">
        <v>434.81848184818483</v>
      </c>
      <c r="K24" s="5">
        <v>339.86128110975113</v>
      </c>
      <c r="L24" s="5">
        <v>488.8888888888889</v>
      </c>
      <c r="M24" s="5">
        <v>559.3548387096774</v>
      </c>
      <c r="N24" s="5">
        <v>594.4055944055945</v>
      </c>
      <c r="O24" s="5">
        <f>SUMPRODUCT(D24:N24,'[1]Cotton_Area'!D24:N24)/SUM('[1]Cotton_Area'!D24:N24)</f>
        <v>450.39897645762176</v>
      </c>
      <c r="P24" s="6"/>
      <c r="Q24" s="6"/>
      <c r="R24" s="6"/>
    </row>
    <row r="25" spans="8:8">
      <c r="A25" s="1" t="s">
        <v>62</v>
      </c>
      <c r="B25" s="1" t="s">
        <v>22</v>
      </c>
      <c r="C25" s="2" t="s">
        <v>63</v>
      </c>
      <c r="D25" s="5">
        <v>506.1800796812749</v>
      </c>
      <c r="E25" s="5">
        <v>384.97229916897504</v>
      </c>
      <c r="F25" s="5">
        <v>640.0</v>
      </c>
      <c r="G25" s="5">
        <v>600.0</v>
      </c>
      <c r="H25" s="5">
        <v>290.0</v>
      </c>
      <c r="I25" s="5">
        <v>515.0</v>
      </c>
      <c r="J25" s="5">
        <v>410.0</v>
      </c>
      <c r="K25" s="5">
        <v>330.0</v>
      </c>
      <c r="L25" s="5">
        <v>480.0</v>
      </c>
      <c r="M25" s="5">
        <v>550.0</v>
      </c>
      <c r="N25" s="5">
        <v>612.2377622377624</v>
      </c>
      <c r="O25" s="5">
        <f>SUMPRODUCT(D25:N25,'[1]Cotton_Area'!D25:N25)/SUM('[1]Cotton_Area'!D25:N25)</f>
        <v>418.47991532019057</v>
      </c>
      <c r="P25" s="6"/>
      <c r="Q25" s="6"/>
      <c r="R25" s="6"/>
    </row>
    <row r="26" spans="8:8">
      <c r="A26" s="1" t="s">
        <v>64</v>
      </c>
      <c r="B26" s="1" t="s">
        <v>22</v>
      </c>
      <c r="C26" s="2" t="s">
        <v>65</v>
      </c>
      <c r="D26" s="5">
        <v>245.0</v>
      </c>
      <c r="E26" s="5">
        <v>320.0</v>
      </c>
      <c r="F26" s="5">
        <v>660.0</v>
      </c>
      <c r="G26" s="5">
        <v>606.0</v>
      </c>
      <c r="H26" s="5">
        <v>346.0</v>
      </c>
      <c r="I26" s="5">
        <v>520.0</v>
      </c>
      <c r="J26" s="5">
        <v>390.0</v>
      </c>
      <c r="K26" s="5">
        <v>370.0</v>
      </c>
      <c r="L26" s="5">
        <v>440.0</v>
      </c>
      <c r="M26" s="5">
        <v>635.0</v>
      </c>
      <c r="N26" s="5">
        <v>550.0</v>
      </c>
      <c r="O26" s="5">
        <f>SUMPRODUCT(D26:N26,'[1]Cotton_Area'!D26:N26)/SUM('[1]Cotton_Area'!D26:N26)</f>
        <v>441.08965730641296</v>
      </c>
      <c r="P26" s="6"/>
      <c r="Q26" s="6"/>
      <c r="R26" s="6"/>
    </row>
    <row r="27" spans="8:8">
      <c r="A27" s="2" t="s">
        <v>66</v>
      </c>
      <c r="B27" s="2" t="s">
        <v>67</v>
      </c>
      <c r="C27" s="2" t="s">
        <v>68</v>
      </c>
      <c r="D27" s="5">
        <v>465.0</v>
      </c>
      <c r="E27" s="5">
        <v>400.0</v>
      </c>
      <c r="F27" s="5">
        <v>585.0</v>
      </c>
      <c r="G27" s="5">
        <v>546.0</v>
      </c>
      <c r="H27" s="5">
        <v>375.0</v>
      </c>
      <c r="I27" s="5">
        <v>525.0</v>
      </c>
      <c r="J27" s="5">
        <v>400.0</v>
      </c>
      <c r="K27" s="5">
        <v>315.0</v>
      </c>
      <c r="L27" s="5">
        <v>426.0</v>
      </c>
      <c r="M27" s="5">
        <v>623.0</v>
      </c>
      <c r="N27" s="5">
        <v>500.0</v>
      </c>
      <c r="O27" s="5">
        <f>SUMPRODUCT(D27:N27,'[1]Cotton_Area'!D27:N27)/SUM('[1]Cotton_Area'!D27:N27)</f>
        <v>435.5495437810149</v>
      </c>
      <c r="P27" s="6"/>
      <c r="Q27" s="6"/>
      <c r="R27" s="6"/>
    </row>
    <row r="28" spans="8:8" s="2" ht="13.8" customFormat="1">
      <c r="A28" s="7" t="s">
        <v>69</v>
      </c>
      <c r="B28" s="7" t="s">
        <v>67</v>
      </c>
      <c r="C28" s="7" t="s">
        <v>70</v>
      </c>
      <c r="D28" s="8">
        <v>260.0</v>
      </c>
      <c r="E28" s="8">
        <v>270.0</v>
      </c>
      <c r="F28" s="8">
        <v>626.6573736321001</v>
      </c>
      <c r="G28" s="8">
        <v>590.0</v>
      </c>
      <c r="H28" s="8">
        <v>385.0</v>
      </c>
      <c r="I28" s="8">
        <v>525.0</v>
      </c>
      <c r="J28" s="8">
        <v>433.72137555052433</v>
      </c>
      <c r="K28" s="8">
        <v>467.0</v>
      </c>
      <c r="L28" s="8">
        <v>590.0</v>
      </c>
      <c r="M28" s="8">
        <v>610.0</v>
      </c>
      <c r="N28" s="8">
        <v>555.0</v>
      </c>
      <c r="O28" s="8">
        <f>SUMPRODUCT(D28:N28,'[1]Cotton_Area'!D28:N28)/SUM('[1]Cotton_Area'!D28:N28)</f>
        <v>469.81328833495206</v>
      </c>
      <c r="P28" s="9"/>
    </row>
    <row r="29" spans="8:8">
      <c r="A29" s="1" t="s">
        <v>71</v>
      </c>
      <c r="C29" s="1"/>
      <c r="D29" s="9">
        <f>D28/D27-1</f>
        <v>-0.44086021505376305</v>
      </c>
      <c r="E29" s="9">
        <f t="shared" si="0" ref="E29:O29">E28/E27-1</f>
        <v>-0.32499999999999996</v>
      </c>
      <c r="F29" s="9">
        <f t="shared" si="0"/>
        <v>0.07120918569590007</v>
      </c>
      <c r="G29" s="9">
        <f>G28/G27-1</f>
        <v>0.08058608058608008</v>
      </c>
      <c r="H29" s="9">
        <f t="shared" si="0"/>
        <v>0.026666666666669947</v>
      </c>
      <c r="I29" s="9">
        <f t="shared" si="0"/>
        <v>0.0</v>
      </c>
      <c r="J29" s="9">
        <f t="shared" si="0"/>
        <v>0.08430343887630998</v>
      </c>
      <c r="K29" s="9">
        <f t="shared" si="0"/>
        <v>0.48253968253967994</v>
      </c>
      <c r="L29" s="9">
        <f t="shared" si="0"/>
        <v>0.3849765258216</v>
      </c>
      <c r="M29" s="9">
        <f t="shared" si="0"/>
        <v>-0.02086677367576195</v>
      </c>
      <c r="N29" s="9">
        <f t="shared" si="0"/>
        <v>0.1100000000000001</v>
      </c>
      <c r="O29" s="9">
        <f t="shared" si="0"/>
        <v>0.07866784627184997</v>
      </c>
      <c r="P29" s="10"/>
    </row>
    <row r="30" spans="8:8">
      <c r="A30" s="1" t="str">
        <f t="shared" si="1" ref="A30:A32">_xlfn.CONCAT(B30,C30)</f>
        <v>AGP Upside2024/25 </v>
      </c>
      <c r="B30" s="11" t="s">
        <v>72</v>
      </c>
      <c r="C30" s="12" t="s">
        <v>70</v>
      </c>
      <c r="D30" s="13">
        <f>D28*102%</f>
        <v>265.2</v>
      </c>
      <c r="E30" s="13">
        <f t="shared" si="2" ref="E30:N30">E28*102%</f>
        <v>275.4</v>
      </c>
      <c r="F30" s="13">
        <f t="shared" si="2"/>
        <v>639.1905211047421</v>
      </c>
      <c r="G30" s="13">
        <f t="shared" si="2"/>
        <v>601.8</v>
      </c>
      <c r="H30" s="13">
        <f t="shared" si="2"/>
        <v>392.7</v>
      </c>
      <c r="I30" s="13">
        <f t="shared" si="2"/>
        <v>535.5</v>
      </c>
      <c r="J30" s="13">
        <f t="shared" si="2"/>
        <v>442.3958030615348</v>
      </c>
      <c r="K30" s="13">
        <f t="shared" si="2"/>
        <v>476.34000000000003</v>
      </c>
      <c r="L30" s="13">
        <f t="shared" si="2"/>
        <v>601.8</v>
      </c>
      <c r="M30" s="13">
        <f t="shared" si="2"/>
        <v>622.2</v>
      </c>
      <c r="N30" s="13">
        <f t="shared" si="2"/>
        <v>566.1</v>
      </c>
      <c r="O30" s="13">
        <f>SUMPRODUCT(D30:N30,'[1]Cotton_Area'!D30:N30)/SUM('[1]Cotton_Area'!D30:N30)</f>
        <v>479.209554101651</v>
      </c>
      <c r="P30" s="11"/>
    </row>
    <row r="31" spans="8:8">
      <c r="A31" s="1" t="str">
        <f t="shared" si="1"/>
        <v>AGP  Downside2024/25 </v>
      </c>
      <c r="B31" s="1" t="s">
        <v>73</v>
      </c>
      <c r="C31" s="14" t="s">
        <v>70</v>
      </c>
      <c r="D31" s="5">
        <f>D28*98%</f>
        <v>254.79999999999998</v>
      </c>
      <c r="E31" s="5">
        <f t="shared" si="3" ref="E31:N31">E28*98%</f>
        <v>264.6</v>
      </c>
      <c r="F31" s="5">
        <f t="shared" si="3"/>
        <v>614.1242261594581</v>
      </c>
      <c r="G31" s="5">
        <f t="shared" si="3"/>
        <v>578.2</v>
      </c>
      <c r="H31" s="5">
        <f t="shared" si="3"/>
        <v>377.3</v>
      </c>
      <c r="I31" s="5">
        <f t="shared" si="3"/>
        <v>514.5</v>
      </c>
      <c r="J31" s="5">
        <f t="shared" si="3"/>
        <v>425.04694803951384</v>
      </c>
      <c r="K31" s="5">
        <f t="shared" si="3"/>
        <v>457.65999999999997</v>
      </c>
      <c r="L31" s="5">
        <f t="shared" si="3"/>
        <v>578.2</v>
      </c>
      <c r="M31" s="5">
        <f t="shared" si="3"/>
        <v>597.8</v>
      </c>
      <c r="N31" s="5">
        <f t="shared" si="3"/>
        <v>543.9</v>
      </c>
      <c r="O31" s="13">
        <f>SUMPRODUCT(D31:N31,'[1]Cotton_Area'!D31:N31)/SUM('[1]Cotton_Area'!D31:N31)</f>
        <v>460.4170225682531</v>
      </c>
      <c r="P31" s="11"/>
    </row>
    <row r="32" spans="8:8">
      <c r="A32" s="1" t="str">
        <f t="shared" si="1"/>
        <v>Risk/Potential2024/25 </v>
      </c>
      <c r="B32" s="1" t="s">
        <v>74</v>
      </c>
      <c r="C32" s="14" t="s">
        <v>70</v>
      </c>
      <c r="D32" s="5"/>
      <c r="E32" s="5"/>
      <c r="F32" s="5"/>
      <c r="G32" s="5"/>
      <c r="H32" s="5">
        <f>'[1]Cotton_Production'!H28</f>
        <v>92.49058823529413</v>
      </c>
      <c r="I32" s="5"/>
      <c r="J32" s="5"/>
      <c r="K32" s="5"/>
      <c r="L32" s="5"/>
      <c r="M32" s="5"/>
      <c r="N32" s="5"/>
      <c r="O32" s="5"/>
      <c r="P32" s="11"/>
    </row>
    <row r="33" spans="8:8">
      <c r="A33" s="1" t="str">
        <f>_xlfn.CONCAT(B33,C33)</f>
        <v>After Risk/Potential2024/25 </v>
      </c>
      <c r="B33" s="1" t="s">
        <v>75</v>
      </c>
      <c r="C33" s="14" t="s">
        <v>70</v>
      </c>
      <c r="D33" s="5">
        <f t="shared" si="4" ref="D33:N33">D28+D32</f>
        <v>260.0</v>
      </c>
      <c r="E33" s="5">
        <f t="shared" si="4"/>
        <v>270.0</v>
      </c>
      <c r="F33" s="5">
        <f t="shared" si="4"/>
        <v>626.6573736321</v>
      </c>
      <c r="G33" s="5">
        <f t="shared" si="4"/>
        <v>590.0</v>
      </c>
      <c r="H33" s="5">
        <f t="shared" si="4"/>
        <v>477.4905882352941</v>
      </c>
      <c r="I33" s="5">
        <f t="shared" si="4"/>
        <v>525.0</v>
      </c>
      <c r="J33" s="5">
        <f t="shared" si="4"/>
        <v>433.721375550524</v>
      </c>
      <c r="K33" s="5">
        <f t="shared" si="4"/>
        <v>467.0</v>
      </c>
      <c r="L33" s="5">
        <f t="shared" si="4"/>
        <v>590.0</v>
      </c>
      <c r="M33" s="5">
        <f t="shared" si="4"/>
        <v>610.0</v>
      </c>
      <c r="N33" s="5">
        <f t="shared" si="4"/>
        <v>555.0</v>
      </c>
      <c r="O33" s="13">
        <f>SUMPRODUCT(D33:N33,'[1]Cotton_Area'!D33:N33)/SUM('[1]Cotton_Area'!D33:N33)</f>
        <v>503.63292862082733</v>
      </c>
      <c r="P33" s="11"/>
    </row>
    <row r="36" spans="8:8" s="2" ht="13.8" customFormat="1">
      <c r="A36" s="15" t="s">
        <v>76</v>
      </c>
      <c r="B36" s="15" t="s">
        <v>67</v>
      </c>
      <c r="C36" s="16" t="s">
        <v>77</v>
      </c>
      <c r="D36" s="8">
        <v>370.0</v>
      </c>
      <c r="E36" s="8">
        <v>255.0</v>
      </c>
      <c r="F36" s="8">
        <v>730.0</v>
      </c>
      <c r="G36" s="8">
        <v>615.0</v>
      </c>
      <c r="H36" s="8">
        <v>350.0</v>
      </c>
      <c r="I36" s="8">
        <v>480.0</v>
      </c>
      <c r="J36" s="8">
        <v>410.0</v>
      </c>
      <c r="K36" s="8">
        <v>417.0</v>
      </c>
      <c r="L36" s="8">
        <v>550.0</v>
      </c>
      <c r="M36" s="8">
        <f t="shared" si="5" ref="M36:N36">AVERAGE(M24:M28)</f>
        <v>595.4709677419355</v>
      </c>
      <c r="N36" s="8">
        <f t="shared" si="5"/>
        <v>562.3286713286714</v>
      </c>
      <c r="O36" s="8">
        <f>SUMPRODUCT(D36:N36,'[1]Cotton_Area'!D36:N36)/SUM('[1]Cotton_Area'!D36:N36)</f>
        <v>453.780060031383</v>
      </c>
      <c r="P36" s="17"/>
    </row>
    <row r="37" spans="8:8" s="2" ht="13.8" customFormat="1">
      <c r="A37" s="15" t="s">
        <v>78</v>
      </c>
      <c r="B37" s="15" t="s">
        <v>67</v>
      </c>
      <c r="C37" s="16" t="s">
        <v>79</v>
      </c>
      <c r="D37" s="8">
        <f>AVERAGE(D36,D28,D27)</f>
        <v>365.0</v>
      </c>
      <c r="E37" s="8">
        <f t="shared" si="6" ref="E37:N37">AVERAGE(E36,E28,E27)</f>
        <v>308.3333333333333</v>
      </c>
      <c r="F37" s="8">
        <f t="shared" si="6"/>
        <v>647.2191245440334</v>
      </c>
      <c r="G37" s="8">
        <f t="shared" si="6"/>
        <v>583.6666666666666</v>
      </c>
      <c r="H37" s="8">
        <f t="shared" si="6"/>
        <v>370.0</v>
      </c>
      <c r="I37" s="8">
        <f t="shared" si="6"/>
        <v>510.0</v>
      </c>
      <c r="J37" s="8">
        <f t="shared" si="6"/>
        <v>414.57379185017476</v>
      </c>
      <c r="K37" s="8">
        <f t="shared" si="6"/>
        <v>399.6666666666667</v>
      </c>
      <c r="L37" s="8">
        <f t="shared" si="6"/>
        <v>522.0</v>
      </c>
      <c r="M37" s="8">
        <f t="shared" si="6"/>
        <v>609.4903225806452</v>
      </c>
      <c r="N37" s="8">
        <f t="shared" si="6"/>
        <v>539.1095571095572</v>
      </c>
      <c r="O37" s="8">
        <f>SUMPRODUCT(D37:N37,'[1]Cotton_Area'!D37:N37)/SUM('[1]Cotton_Area'!D37:N37)</f>
        <v>450.43790498864746</v>
      </c>
      <c r="P37" s="17"/>
    </row>
    <row r="38" spans="8:8">
      <c r="A38" s="1" t="s">
        <v>71</v>
      </c>
      <c r="C38" s="1"/>
      <c r="D38" s="9">
        <f>D37/D36-1</f>
        <v>-0.013513513513513042</v>
      </c>
      <c r="E38" s="9">
        <f t="shared" si="7" ref="E38:N38">E37/E36-1</f>
        <v>0.20915032679738998</v>
      </c>
      <c r="F38" s="9">
        <f t="shared" si="7"/>
        <v>-0.11339845952872096</v>
      </c>
      <c r="G38" s="9">
        <f t="shared" si="7"/>
        <v>-0.050948509485094995</v>
      </c>
      <c r="H38" s="9">
        <f t="shared" si="7"/>
        <v>0.05714285714286005</v>
      </c>
      <c r="I38" s="9">
        <f t="shared" si="7"/>
        <v>0.0625</v>
      </c>
      <c r="J38" s="9">
        <f t="shared" si="7"/>
        <v>0.011155589878480088</v>
      </c>
      <c r="K38" s="9">
        <f t="shared" si="7"/>
        <v>-0.041566746602717974</v>
      </c>
      <c r="L38" s="9">
        <f t="shared" si="7"/>
        <v>-0.050909090909091015</v>
      </c>
      <c r="M38" s="9">
        <f t="shared" si="7"/>
        <v>0.023543305380399948</v>
      </c>
      <c r="N38" s="9">
        <f t="shared" si="7"/>
        <v>-0.041291001869514954</v>
      </c>
      <c r="O38" s="9">
        <f>O37/O36-1</f>
        <v>-0.007365143022159959</v>
      </c>
      <c r="P38" s="10"/>
    </row>
  </sheetData>
  <conditionalFormatting sqref="D38:O38">
    <cfRule type="colorScale" priority="1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D29:O29">
    <cfRule type="colorScale" priority="2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Q45"/>
  <sheetViews>
    <sheetView workbookViewId="0">
      <selection activeCell="K42" sqref="K42"/>
    </sheetView>
  </sheetViews>
  <sheetFormatPr defaultRowHeight="13.8" defaultColWidth="12"/>
  <cols>
    <col min="1" max="1" customWidth="1" bestFit="1" width="24.0" style="1"/>
    <col min="2" max="3" customWidth="0" width="12.332031" style="1"/>
    <col min="4" max="15" customWidth="0" width="12.332031" style="2"/>
    <col min="16" max="16384" customWidth="0" width="12.332031" style="1"/>
  </cols>
  <sheetData>
    <row r="1" spans="8:8">
      <c r="A1" s="1" t="s">
        <v>0</v>
      </c>
      <c r="C1" s="1" t="s">
        <v>80</v>
      </c>
    </row>
    <row r="2" spans="8:8">
      <c r="A2" s="1" t="s">
        <v>2</v>
      </c>
      <c r="C2" s="1" t="s">
        <v>3</v>
      </c>
    </row>
    <row r="3" spans="8:8">
      <c r="A3" s="1" t="s">
        <v>4</v>
      </c>
      <c r="C3" s="1" t="s">
        <v>5</v>
      </c>
    </row>
    <row r="4" spans="8:8">
      <c r="A4" s="18" t="s">
        <v>6</v>
      </c>
      <c r="B4" s="18" t="s">
        <v>7</v>
      </c>
      <c r="C4" s="1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</row>
    <row r="5" spans="8:8">
      <c r="A5" s="1" t="str">
        <f>_xlfn.CONCAT(B5,C5)</f>
        <v>GOI Final2001/02</v>
      </c>
      <c r="B5" s="1" t="s">
        <v>22</v>
      </c>
      <c r="C5" s="1" t="s">
        <v>23</v>
      </c>
      <c r="D5" s="5">
        <v>474.0</v>
      </c>
      <c r="E5" s="5">
        <v>555.0</v>
      </c>
      <c r="F5" s="5">
        <v>510.0</v>
      </c>
      <c r="G5" s="5">
        <v>1615.0</v>
      </c>
      <c r="H5" s="5">
        <v>3077.0</v>
      </c>
      <c r="I5" s="5">
        <v>506.0</v>
      </c>
      <c r="J5" s="5">
        <v>1022.0</v>
      </c>
      <c r="K5" s="5">
        <v>0.0</v>
      </c>
      <c r="L5" s="5">
        <v>560.0</v>
      </c>
      <c r="M5" s="5">
        <v>193.0</v>
      </c>
      <c r="N5" s="5">
        <v>64.0</v>
      </c>
      <c r="O5" s="5">
        <f>SUM(D5:N5)</f>
        <v>8576.0</v>
      </c>
      <c r="P5" s="10"/>
    </row>
    <row r="6" spans="8:8">
      <c r="A6" s="1" t="str">
        <f t="shared" si="0" ref="A6:A32">_xlfn.CONCAT(B6,C6)</f>
        <v>GOI Final2002/03</v>
      </c>
      <c r="B6" s="1" t="s">
        <v>22</v>
      </c>
      <c r="C6" s="1" t="s">
        <v>25</v>
      </c>
      <c r="D6" s="5">
        <v>600.0</v>
      </c>
      <c r="E6" s="5">
        <v>610.0</v>
      </c>
      <c r="F6" s="5">
        <v>347.0</v>
      </c>
      <c r="G6" s="5">
        <v>1687.0</v>
      </c>
      <c r="H6" s="5">
        <v>2980.0</v>
      </c>
      <c r="I6" s="5">
        <v>623.0</v>
      </c>
      <c r="J6" s="5">
        <v>1002.0</v>
      </c>
      <c r="K6" s="5">
        <v>0.0</v>
      </c>
      <c r="L6" s="5">
        <v>591.0</v>
      </c>
      <c r="M6" s="5">
        <v>200.0</v>
      </c>
      <c r="N6" s="5">
        <v>90.0</v>
      </c>
      <c r="O6" s="5">
        <f t="shared" si="1" ref="O6:O31">SUM(D6:N6)</f>
        <v>8730.0</v>
      </c>
      <c r="P6" s="10"/>
    </row>
    <row r="7" spans="8:8">
      <c r="A7" s="1" t="str">
        <f t="shared" si="0"/>
        <v>GOI Final2003/04</v>
      </c>
      <c r="B7" s="1" t="s">
        <v>22</v>
      </c>
      <c r="C7" s="1" t="s">
        <v>27</v>
      </c>
      <c r="D7" s="5">
        <v>449.0</v>
      </c>
      <c r="E7" s="5">
        <v>519.0</v>
      </c>
      <c r="F7" s="5">
        <v>386.0</v>
      </c>
      <c r="G7" s="5">
        <v>1634.0</v>
      </c>
      <c r="H7" s="5">
        <v>2800.0</v>
      </c>
      <c r="I7" s="5">
        <v>545.0</v>
      </c>
      <c r="J7" s="5">
        <v>803.0</v>
      </c>
      <c r="K7" s="5">
        <v>0.0</v>
      </c>
      <c r="L7" s="5">
        <v>393.0</v>
      </c>
      <c r="M7" s="5">
        <v>85.0</v>
      </c>
      <c r="N7" s="5">
        <v>53.0</v>
      </c>
      <c r="O7" s="5">
        <f t="shared" si="1"/>
        <v>7667.0</v>
      </c>
      <c r="P7" s="10"/>
    </row>
    <row r="8" spans="8:8">
      <c r="A8" s="1" t="str">
        <f t="shared" si="0"/>
        <v>GOI Final2004/05</v>
      </c>
      <c r="B8" s="1" t="s">
        <v>22</v>
      </c>
      <c r="C8" s="1" t="s">
        <v>29</v>
      </c>
      <c r="D8" s="5">
        <v>452.0</v>
      </c>
      <c r="E8" s="5">
        <v>526.0</v>
      </c>
      <c r="F8" s="5">
        <v>344.0</v>
      </c>
      <c r="G8" s="5">
        <v>1647.0</v>
      </c>
      <c r="H8" s="5">
        <v>2766.0</v>
      </c>
      <c r="I8" s="5">
        <v>591.0</v>
      </c>
      <c r="J8" s="5">
        <v>837.0</v>
      </c>
      <c r="K8" s="5">
        <v>0.0</v>
      </c>
      <c r="L8" s="5">
        <v>313.0</v>
      </c>
      <c r="M8" s="5">
        <v>103.0</v>
      </c>
      <c r="N8" s="5">
        <v>51.0</v>
      </c>
      <c r="O8" s="5">
        <f t="shared" si="1"/>
        <v>7630.0</v>
      </c>
      <c r="P8" s="10"/>
    </row>
    <row r="9" spans="8:8">
      <c r="A9" s="1" t="str">
        <f t="shared" si="0"/>
        <v>GOI Final2005/06</v>
      </c>
      <c r="B9" s="1" t="s">
        <v>22</v>
      </c>
      <c r="C9" s="1" t="s">
        <v>31</v>
      </c>
      <c r="D9" s="5">
        <v>509.0</v>
      </c>
      <c r="E9" s="5">
        <v>621.0</v>
      </c>
      <c r="F9" s="5">
        <v>438.0</v>
      </c>
      <c r="G9" s="5">
        <v>1906.0</v>
      </c>
      <c r="H9" s="5">
        <v>2840.0</v>
      </c>
      <c r="I9" s="5">
        <v>576.0</v>
      </c>
      <c r="J9" s="5">
        <v>1178.0</v>
      </c>
      <c r="K9" s="5">
        <v>0.0</v>
      </c>
      <c r="L9" s="5">
        <v>521.0</v>
      </c>
      <c r="M9" s="5">
        <v>129.0</v>
      </c>
      <c r="N9" s="5">
        <v>68.0</v>
      </c>
      <c r="O9" s="5">
        <f t="shared" si="1"/>
        <v>8786.0</v>
      </c>
      <c r="P9" s="10"/>
    </row>
    <row r="10" spans="8:8">
      <c r="A10" s="1" t="str">
        <f t="shared" si="0"/>
        <v>GOI Final2006/07</v>
      </c>
      <c r="B10" s="1" t="s">
        <v>22</v>
      </c>
      <c r="C10" s="1" t="s">
        <v>33</v>
      </c>
      <c r="D10" s="5">
        <v>557.0</v>
      </c>
      <c r="E10" s="5">
        <v>583.0</v>
      </c>
      <c r="F10" s="5">
        <v>471.0</v>
      </c>
      <c r="G10" s="5">
        <v>1908.0</v>
      </c>
      <c r="H10" s="5">
        <v>2875.0</v>
      </c>
      <c r="I10" s="5">
        <v>620.0</v>
      </c>
      <c r="J10" s="5">
        <v>1033.0</v>
      </c>
      <c r="K10" s="5">
        <v>0.0</v>
      </c>
      <c r="L10" s="5">
        <v>413.0</v>
      </c>
      <c r="M10" s="5">
        <v>140.0</v>
      </c>
      <c r="N10" s="5">
        <v>79.0</v>
      </c>
      <c r="O10" s="5">
        <f t="shared" si="1"/>
        <v>8679.0</v>
      </c>
      <c r="P10" s="10"/>
    </row>
    <row r="11" spans="8:8">
      <c r="A11" s="1" t="str">
        <f t="shared" si="0"/>
        <v>GOI Final2007/08</v>
      </c>
      <c r="B11" s="1" t="s">
        <v>22</v>
      </c>
      <c r="C11" s="1" t="s">
        <v>35</v>
      </c>
      <c r="D11" s="5">
        <v>607.0</v>
      </c>
      <c r="E11" s="5">
        <v>530.0</v>
      </c>
      <c r="F11" s="5">
        <v>350.0</v>
      </c>
      <c r="G11" s="5">
        <v>2390.0</v>
      </c>
      <c r="H11" s="5">
        <v>3107.0</v>
      </c>
      <c r="I11" s="5">
        <v>639.0</v>
      </c>
      <c r="J11" s="5">
        <v>972.0</v>
      </c>
      <c r="K11" s="5">
        <v>0.0</v>
      </c>
      <c r="L11" s="5">
        <v>378.0</v>
      </c>
      <c r="M11" s="5">
        <v>100.0</v>
      </c>
      <c r="N11" s="5">
        <v>71.0</v>
      </c>
      <c r="O11" s="5">
        <f t="shared" si="1"/>
        <v>9144.0</v>
      </c>
      <c r="P11" s="10"/>
    </row>
    <row r="12" spans="8:8">
      <c r="A12" s="1" t="str">
        <f t="shared" si="0"/>
        <v>GOI Final2008/09</v>
      </c>
      <c r="B12" s="1" t="s">
        <v>22</v>
      </c>
      <c r="C12" s="1" t="s">
        <v>37</v>
      </c>
      <c r="D12" s="5">
        <v>604.0</v>
      </c>
      <c r="E12" s="5">
        <v>483.0</v>
      </c>
      <c r="F12" s="5">
        <v>339.0</v>
      </c>
      <c r="G12" s="5">
        <v>2422.0</v>
      </c>
      <c r="H12" s="5">
        <v>3194.0</v>
      </c>
      <c r="I12" s="5">
        <v>630.0</v>
      </c>
      <c r="J12" s="5">
        <v>1138.0</v>
      </c>
      <c r="K12" s="5">
        <v>0.0</v>
      </c>
      <c r="L12" s="5">
        <v>402.0</v>
      </c>
      <c r="M12" s="5">
        <v>119.0</v>
      </c>
      <c r="N12" s="5">
        <v>108.0</v>
      </c>
      <c r="O12" s="5">
        <f t="shared" si="1"/>
        <v>9439.0</v>
      </c>
      <c r="P12" s="10"/>
    </row>
    <row r="13" spans="8:8">
      <c r="A13" s="1" t="str">
        <f t="shared" si="0"/>
        <v>GOI Final2009/10</v>
      </c>
      <c r="B13" s="1" t="s">
        <v>22</v>
      </c>
      <c r="C13" s="1" t="s">
        <v>39</v>
      </c>
      <c r="D13" s="5">
        <v>511.0</v>
      </c>
      <c r="E13" s="5">
        <v>507.0</v>
      </c>
      <c r="F13" s="5">
        <v>444.0</v>
      </c>
      <c r="G13" s="5">
        <v>2625.0</v>
      </c>
      <c r="H13" s="5">
        <v>3503.0</v>
      </c>
      <c r="I13" s="5">
        <v>611.0</v>
      </c>
      <c r="J13" s="5">
        <v>1475.0</v>
      </c>
      <c r="K13" s="5">
        <v>0.0</v>
      </c>
      <c r="L13" s="5">
        <v>455.0</v>
      </c>
      <c r="M13" s="5">
        <v>104.0</v>
      </c>
      <c r="N13" s="5">
        <v>75.0</v>
      </c>
      <c r="O13" s="5">
        <f t="shared" si="1"/>
        <v>10310.0</v>
      </c>
      <c r="P13" s="10"/>
    </row>
    <row r="14" spans="8:8">
      <c r="A14" s="1" t="str">
        <f t="shared" si="0"/>
        <v>GOI Final2010/11</v>
      </c>
      <c r="B14" s="1" t="s">
        <v>22</v>
      </c>
      <c r="C14" s="1" t="s">
        <v>41</v>
      </c>
      <c r="D14" s="5">
        <v>530.0</v>
      </c>
      <c r="E14" s="5">
        <v>492.0</v>
      </c>
      <c r="F14" s="5">
        <v>335.0</v>
      </c>
      <c r="G14" s="5">
        <v>2633.0</v>
      </c>
      <c r="H14" s="5">
        <v>3973.0</v>
      </c>
      <c r="I14" s="5">
        <v>650.0</v>
      </c>
      <c r="J14" s="5">
        <v>1776.0</v>
      </c>
      <c r="K14" s="5">
        <v>0.0</v>
      </c>
      <c r="L14" s="5">
        <v>545.0</v>
      </c>
      <c r="M14" s="5">
        <v>120.0</v>
      </c>
      <c r="N14" s="5">
        <v>119.0</v>
      </c>
      <c r="O14" s="5">
        <f t="shared" si="1"/>
        <v>11173.0</v>
      </c>
      <c r="P14" s="10"/>
    </row>
    <row r="15" spans="8:8">
      <c r="A15" s="1" t="str">
        <f t="shared" si="0"/>
        <v>GOI Final2011/12</v>
      </c>
      <c r="B15" s="1" t="s">
        <v>22</v>
      </c>
      <c r="C15" s="1" t="s">
        <v>43</v>
      </c>
      <c r="D15" s="5">
        <v>560.0</v>
      </c>
      <c r="E15" s="5">
        <v>641.0</v>
      </c>
      <c r="F15" s="5">
        <v>470.0</v>
      </c>
      <c r="G15" s="5">
        <v>2962.0</v>
      </c>
      <c r="H15" s="5">
        <v>4126.0</v>
      </c>
      <c r="I15" s="5">
        <v>706.0</v>
      </c>
      <c r="J15" s="5">
        <v>1879.0</v>
      </c>
      <c r="K15" s="5">
        <v>0.0</v>
      </c>
      <c r="L15" s="5">
        <v>554.0</v>
      </c>
      <c r="M15" s="5">
        <v>133.0</v>
      </c>
      <c r="N15" s="5">
        <v>148.0</v>
      </c>
      <c r="O15" s="5">
        <f t="shared" si="1"/>
        <v>12179.0</v>
      </c>
      <c r="P15" s="10"/>
    </row>
    <row r="16" spans="8:8">
      <c r="A16" s="1" t="str">
        <f t="shared" si="0"/>
        <v>GOI Final2012/13</v>
      </c>
      <c r="B16" s="1" t="s">
        <v>22</v>
      </c>
      <c r="C16" s="1" t="s">
        <v>45</v>
      </c>
      <c r="D16" s="5">
        <v>480.0</v>
      </c>
      <c r="E16" s="5">
        <v>614.0</v>
      </c>
      <c r="F16" s="5">
        <v>450.0</v>
      </c>
      <c r="G16" s="5">
        <v>2497.0</v>
      </c>
      <c r="H16" s="5">
        <v>4146.0</v>
      </c>
      <c r="I16" s="5">
        <v>610.0</v>
      </c>
      <c r="J16" s="5">
        <v>2400.0</v>
      </c>
      <c r="K16" s="5">
        <v>0.0</v>
      </c>
      <c r="L16" s="5">
        <v>485.0</v>
      </c>
      <c r="M16" s="5">
        <v>128.0</v>
      </c>
      <c r="N16" s="5">
        <v>170.0</v>
      </c>
      <c r="O16" s="5">
        <f t="shared" si="1"/>
        <v>11980.0</v>
      </c>
      <c r="P16" s="10"/>
    </row>
    <row r="17" spans="8:8">
      <c r="A17" s="1" t="str">
        <f t="shared" si="0"/>
        <v>GOI Final2013/14</v>
      </c>
      <c r="B17" s="1" t="s">
        <v>22</v>
      </c>
      <c r="C17" s="1" t="s">
        <v>47</v>
      </c>
      <c r="D17" s="5">
        <v>446.0</v>
      </c>
      <c r="E17" s="5">
        <v>536.0</v>
      </c>
      <c r="F17" s="5">
        <v>393.0</v>
      </c>
      <c r="G17" s="5">
        <v>2519.0</v>
      </c>
      <c r="H17" s="5">
        <v>4192.0</v>
      </c>
      <c r="I17" s="5">
        <v>514.0</v>
      </c>
      <c r="J17" s="5">
        <v>2389.0</v>
      </c>
      <c r="K17" s="5">
        <v>0.0</v>
      </c>
      <c r="L17" s="5">
        <v>662.0</v>
      </c>
      <c r="M17" s="5">
        <v>152.0</v>
      </c>
      <c r="N17" s="5">
        <v>167.0</v>
      </c>
      <c r="O17" s="5">
        <f t="shared" si="1"/>
        <v>11970.0</v>
      </c>
      <c r="P17" s="10"/>
    </row>
    <row r="18" spans="8:8">
      <c r="A18" s="1" t="str">
        <f t="shared" si="0"/>
        <v>GOI Final2014/15</v>
      </c>
      <c r="B18" s="1" t="s">
        <v>22</v>
      </c>
      <c r="C18" s="1" t="s">
        <v>49</v>
      </c>
      <c r="D18" s="5">
        <v>420.0</v>
      </c>
      <c r="E18" s="5">
        <v>648.0</v>
      </c>
      <c r="F18" s="5">
        <v>487.0</v>
      </c>
      <c r="G18" s="5">
        <v>2773.0</v>
      </c>
      <c r="H18" s="5">
        <v>4190.0</v>
      </c>
      <c r="I18" s="5">
        <v>574.0</v>
      </c>
      <c r="J18" s="5">
        <v>2534.0</v>
      </c>
      <c r="K18" s="5">
        <v>0.0</v>
      </c>
      <c r="L18" s="5">
        <v>875.0</v>
      </c>
      <c r="M18" s="5">
        <v>187.0</v>
      </c>
      <c r="N18" s="5">
        <v>158.0</v>
      </c>
      <c r="O18" s="5">
        <f t="shared" si="1"/>
        <v>12846.0</v>
      </c>
      <c r="P18" s="10"/>
    </row>
    <row r="19" spans="8:8">
      <c r="A19" s="1" t="str">
        <f t="shared" si="0"/>
        <v>GOI Final2015/16</v>
      </c>
      <c r="B19" s="1" t="s">
        <v>22</v>
      </c>
      <c r="C19" s="1" t="s">
        <v>51</v>
      </c>
      <c r="D19" s="5">
        <v>339.0</v>
      </c>
      <c r="E19" s="5">
        <v>615.0</v>
      </c>
      <c r="F19" s="5">
        <v>448.0</v>
      </c>
      <c r="G19" s="5">
        <v>2722.0</v>
      </c>
      <c r="H19" s="5">
        <v>4207.0</v>
      </c>
      <c r="I19" s="5">
        <v>563.0</v>
      </c>
      <c r="J19" s="5">
        <v>2439.0</v>
      </c>
      <c r="K19" s="5">
        <v>0.0</v>
      </c>
      <c r="L19" s="5">
        <v>642.0</v>
      </c>
      <c r="M19" s="5">
        <v>142.0</v>
      </c>
      <c r="N19" s="5">
        <v>175.0</v>
      </c>
      <c r="O19" s="5">
        <f t="shared" si="1"/>
        <v>12292.0</v>
      </c>
      <c r="P19" s="10"/>
    </row>
    <row r="20" spans="8:8">
      <c r="A20" s="1" t="str">
        <f t="shared" si="0"/>
        <v>GOI Final2016/17</v>
      </c>
      <c r="B20" s="1" t="s">
        <v>22</v>
      </c>
      <c r="C20" s="1" t="s">
        <v>53</v>
      </c>
      <c r="D20" s="5">
        <v>285.0</v>
      </c>
      <c r="E20" s="5">
        <v>570.0</v>
      </c>
      <c r="F20" s="5">
        <v>471.0</v>
      </c>
      <c r="G20" s="5">
        <v>2382.0</v>
      </c>
      <c r="H20" s="5">
        <v>3800.0</v>
      </c>
      <c r="I20" s="5">
        <v>599.0</v>
      </c>
      <c r="J20" s="5">
        <v>1881.0</v>
      </c>
      <c r="K20" s="5">
        <v>0.0</v>
      </c>
      <c r="L20" s="5">
        <v>510.0</v>
      </c>
      <c r="M20" s="5">
        <v>142.0</v>
      </c>
      <c r="N20" s="5">
        <v>186.0</v>
      </c>
      <c r="O20" s="5">
        <f t="shared" si="1"/>
        <v>10826.0</v>
      </c>
      <c r="P20" s="10"/>
    </row>
    <row r="21" spans="8:8">
      <c r="A21" s="1" t="str">
        <f t="shared" si="0"/>
        <v>GOI Final2017/18</v>
      </c>
      <c r="B21" s="1" t="s">
        <v>22</v>
      </c>
      <c r="C21" s="1" t="s">
        <v>55</v>
      </c>
      <c r="D21" s="5">
        <v>291.0</v>
      </c>
      <c r="E21" s="5">
        <v>669.0</v>
      </c>
      <c r="F21" s="5">
        <v>584.0</v>
      </c>
      <c r="G21" s="5">
        <v>2623.0</v>
      </c>
      <c r="H21" s="5">
        <v>4207.0</v>
      </c>
      <c r="I21" s="5">
        <v>603.0</v>
      </c>
      <c r="J21" s="5">
        <v>2541.0</v>
      </c>
      <c r="K21" s="5">
        <v>0.0</v>
      </c>
      <c r="L21" s="5">
        <v>531.0</v>
      </c>
      <c r="M21" s="5">
        <v>185.0</v>
      </c>
      <c r="N21" s="5">
        <v>195.0</v>
      </c>
      <c r="O21" s="5">
        <f t="shared" si="1"/>
        <v>12429.0</v>
      </c>
      <c r="P21" s="19"/>
    </row>
    <row r="22" spans="8:8">
      <c r="A22" s="1" t="str">
        <f t="shared" si="0"/>
        <v>GOI Final2018/19</v>
      </c>
      <c r="B22" s="1" t="s">
        <v>22</v>
      </c>
      <c r="C22" s="1" t="s">
        <v>57</v>
      </c>
      <c r="D22" s="5">
        <v>268.0</v>
      </c>
      <c r="E22" s="5">
        <v>708.0</v>
      </c>
      <c r="F22" s="5">
        <v>629.0</v>
      </c>
      <c r="G22" s="5">
        <v>2660.0</v>
      </c>
      <c r="H22" s="5">
        <v>4254.0</v>
      </c>
      <c r="I22" s="5">
        <v>614.0</v>
      </c>
      <c r="J22" s="5">
        <v>621.0</v>
      </c>
      <c r="K22" s="5">
        <v>1860.0</v>
      </c>
      <c r="L22" s="5">
        <v>548.0</v>
      </c>
      <c r="M22" s="5">
        <v>133.0</v>
      </c>
      <c r="N22" s="5">
        <v>208.0</v>
      </c>
      <c r="O22" s="5">
        <f t="shared" si="1"/>
        <v>12503.0</v>
      </c>
      <c r="P22" s="10"/>
    </row>
    <row r="23" spans="8:8">
      <c r="A23" s="1" t="str">
        <f t="shared" si="0"/>
        <v>GOI Final2019/20</v>
      </c>
      <c r="B23" s="1" t="s">
        <v>22</v>
      </c>
      <c r="C23" s="1" t="s">
        <v>59</v>
      </c>
      <c r="D23" s="5">
        <v>248.0</v>
      </c>
      <c r="E23" s="5">
        <v>723.0</v>
      </c>
      <c r="F23" s="5">
        <v>760.0</v>
      </c>
      <c r="G23" s="5">
        <v>2655.0</v>
      </c>
      <c r="H23" s="5">
        <v>4491.0</v>
      </c>
      <c r="I23" s="5">
        <v>650.0</v>
      </c>
      <c r="J23" s="5">
        <v>657.0</v>
      </c>
      <c r="K23" s="5">
        <v>2127.0</v>
      </c>
      <c r="L23" s="5">
        <v>817.0</v>
      </c>
      <c r="M23" s="5">
        <v>170.0</v>
      </c>
      <c r="N23" s="5">
        <v>179.00000000000182</v>
      </c>
      <c r="O23" s="5">
        <f t="shared" si="1"/>
        <v>13477.000000000002</v>
      </c>
      <c r="P23" s="10"/>
    </row>
    <row r="24" spans="8:8">
      <c r="A24" s="1" t="str">
        <f t="shared" si="0"/>
        <v>GOI Final2020/21</v>
      </c>
      <c r="B24" s="1" t="s">
        <v>22</v>
      </c>
      <c r="C24" s="1" t="s">
        <v>61</v>
      </c>
      <c r="D24" s="5">
        <v>252.0</v>
      </c>
      <c r="E24" s="5">
        <v>740.0</v>
      </c>
      <c r="F24" s="5">
        <v>808.0</v>
      </c>
      <c r="G24" s="5">
        <v>2271.0</v>
      </c>
      <c r="H24" s="5">
        <v>4545.0</v>
      </c>
      <c r="I24" s="5">
        <v>588.0</v>
      </c>
      <c r="J24" s="5">
        <v>606.0</v>
      </c>
      <c r="K24" s="5">
        <v>2358.0</v>
      </c>
      <c r="L24" s="5">
        <v>819.9999999999999</v>
      </c>
      <c r="M24" s="5">
        <v>112.00000000000001</v>
      </c>
      <c r="N24" s="5">
        <v>186.00000000000182</v>
      </c>
      <c r="O24" s="5">
        <f t="shared" si="1"/>
        <v>13286.000000000002</v>
      </c>
      <c r="P24" s="10"/>
    </row>
    <row r="25" spans="8:8">
      <c r="A25" s="1" t="str">
        <f t="shared" si="0"/>
        <v>GOI Final2021/22 </v>
      </c>
      <c r="B25" s="1" t="s">
        <v>22</v>
      </c>
      <c r="C25" s="1" t="s">
        <v>63</v>
      </c>
      <c r="D25" s="5">
        <v>251.0</v>
      </c>
      <c r="E25" s="5">
        <v>636.0</v>
      </c>
      <c r="F25" s="5">
        <v>756.0</v>
      </c>
      <c r="G25" s="5">
        <v>2284.0</v>
      </c>
      <c r="H25" s="5">
        <v>4410.0</v>
      </c>
      <c r="I25" s="5">
        <v>560.0</v>
      </c>
      <c r="J25" s="5">
        <v>554.0</v>
      </c>
      <c r="K25" s="5">
        <v>1889.0</v>
      </c>
      <c r="L25" s="5">
        <v>674.0</v>
      </c>
      <c r="M25" s="5">
        <v>148.0</v>
      </c>
      <c r="N25" s="5">
        <v>210.0</v>
      </c>
      <c r="O25" s="5">
        <f t="shared" si="1"/>
        <v>12372.0</v>
      </c>
      <c r="P25" s="10"/>
    </row>
    <row r="26" spans="8:8">
      <c r="A26" s="1" t="str">
        <f t="shared" si="0"/>
        <v>GOI Final2022/23 </v>
      </c>
      <c r="B26" s="1" t="s">
        <v>22</v>
      </c>
      <c r="C26" s="1" t="s">
        <v>65</v>
      </c>
      <c r="D26" s="5">
        <v>249.0</v>
      </c>
      <c r="E26" s="5">
        <v>575.0</v>
      </c>
      <c r="F26" s="5">
        <v>815.0</v>
      </c>
      <c r="G26" s="5">
        <v>2484.0</v>
      </c>
      <c r="H26" s="5">
        <v>4182.0</v>
      </c>
      <c r="I26" s="5">
        <v>595.0</v>
      </c>
      <c r="J26" s="5">
        <v>704.0</v>
      </c>
      <c r="K26" s="5">
        <v>1973.0</v>
      </c>
      <c r="L26" s="5">
        <v>949.0</v>
      </c>
      <c r="M26" s="5">
        <v>173.0</v>
      </c>
      <c r="N26" s="5">
        <v>228.00000000000182</v>
      </c>
      <c r="O26" s="5">
        <f>SUM(D26:N26)</f>
        <v>12927.000000000002</v>
      </c>
      <c r="P26" s="10"/>
    </row>
    <row r="27" spans="8:8">
      <c r="A27" s="1" t="s">
        <v>66</v>
      </c>
      <c r="B27" s="1" t="s">
        <v>67</v>
      </c>
      <c r="C27" s="1" t="s">
        <v>68</v>
      </c>
      <c r="D27" s="5">
        <v>214.0</v>
      </c>
      <c r="E27" s="5">
        <v>578.0</v>
      </c>
      <c r="F27" s="5">
        <v>790.0</v>
      </c>
      <c r="G27" s="5">
        <v>2683.0</v>
      </c>
      <c r="H27" s="5">
        <v>4234.0</v>
      </c>
      <c r="I27" s="5">
        <v>650.0</v>
      </c>
      <c r="J27" s="5">
        <v>422.0</v>
      </c>
      <c r="K27" s="5">
        <v>1818.0</v>
      </c>
      <c r="L27" s="5">
        <v>743.0</v>
      </c>
      <c r="M27" s="5">
        <v>130.0</v>
      </c>
      <c r="N27" s="5">
        <v>232.0</v>
      </c>
      <c r="O27" s="5">
        <f t="shared" si="2" ref="O27">SUM(D27:N27)</f>
        <v>12494.0</v>
      </c>
      <c r="P27" s="10"/>
    </row>
    <row r="28" spans="8:8">
      <c r="A28" s="15" t="s">
        <v>69</v>
      </c>
      <c r="B28" s="15" t="s">
        <v>67</v>
      </c>
      <c r="C28" s="20" t="s">
        <v>70</v>
      </c>
      <c r="D28" s="8">
        <v>100.0</v>
      </c>
      <c r="E28" s="8">
        <v>476.0</v>
      </c>
      <c r="F28" s="8">
        <v>520.0</v>
      </c>
      <c r="G28" s="8">
        <v>2206.0</v>
      </c>
      <c r="H28" s="8">
        <v>4084.0000000000005</v>
      </c>
      <c r="I28" s="8">
        <v>620.0</v>
      </c>
      <c r="J28" s="8">
        <v>453.0</v>
      </c>
      <c r="K28" s="8">
        <v>1811.0</v>
      </c>
      <c r="L28" s="8">
        <v>667.0</v>
      </c>
      <c r="M28" s="8">
        <v>56.00000000000001</v>
      </c>
      <c r="N28" s="8">
        <v>176.0</v>
      </c>
      <c r="O28" s="5">
        <f>SUM(D28:N28)</f>
        <v>11169.0</v>
      </c>
      <c r="P28" s="21"/>
    </row>
    <row r="29" spans="8:8">
      <c r="A29" s="1" t="s">
        <v>71</v>
      </c>
      <c r="D29" s="9">
        <f>D28/D27-1</f>
        <v>-0.532710280373832</v>
      </c>
      <c r="E29" s="9">
        <f t="shared" si="3" ref="E29:N29">E28/E27-1</f>
        <v>-0.17647058823529405</v>
      </c>
      <c r="F29" s="9">
        <f t="shared" si="3"/>
        <v>-0.341772151898734</v>
      </c>
      <c r="G29" s="9">
        <f>G28/G27-1</f>
        <v>-0.17778606038017097</v>
      </c>
      <c r="H29" s="9">
        <f t="shared" si="3"/>
        <v>-0.03542749173358495</v>
      </c>
      <c r="I29" s="9">
        <f t="shared" si="3"/>
        <v>-0.04615384615384599</v>
      </c>
      <c r="J29" s="9">
        <f t="shared" si="3"/>
        <v>0.07345971563981002</v>
      </c>
      <c r="K29" s="9">
        <f t="shared" si="3"/>
        <v>-0.0038503850385039895</v>
      </c>
      <c r="L29" s="9">
        <f t="shared" si="3"/>
        <v>-0.10228802153432004</v>
      </c>
      <c r="M29" s="9">
        <f t="shared" si="3"/>
        <v>-0.569230769230769</v>
      </c>
      <c r="N29" s="9">
        <f t="shared" si="3"/>
        <v>-0.24137931034482796</v>
      </c>
      <c r="O29" s="9">
        <f>O28/O27-1</f>
        <v>-0.10605090443412801</v>
      </c>
      <c r="P29" s="10"/>
    </row>
    <row r="30" spans="8:8">
      <c r="A30" s="1" t="str">
        <f t="shared" si="0"/>
        <v>AGP Upside2024/25 </v>
      </c>
      <c r="B30" s="11" t="s">
        <v>72</v>
      </c>
      <c r="C30" s="12" t="s">
        <v>70</v>
      </c>
      <c r="D30" s="13">
        <f>D28*102%</f>
        <v>102.0</v>
      </c>
      <c r="E30" s="13">
        <f t="shared" si="4" ref="E30:N30">E28*102%</f>
        <v>485.52</v>
      </c>
      <c r="F30" s="13">
        <f t="shared" si="4"/>
        <v>530.4</v>
      </c>
      <c r="G30" s="13">
        <f t="shared" si="4"/>
        <v>2250.12</v>
      </c>
      <c r="H30" s="13">
        <f t="shared" si="4"/>
        <v>4165.68</v>
      </c>
      <c r="I30" s="13">
        <f t="shared" si="4"/>
        <v>632.4</v>
      </c>
      <c r="J30" s="13">
        <f t="shared" si="4"/>
        <v>462.06</v>
      </c>
      <c r="K30" s="13">
        <f t="shared" si="4"/>
        <v>1847.22</v>
      </c>
      <c r="L30" s="13">
        <f t="shared" si="4"/>
        <v>680.34</v>
      </c>
      <c r="M30" s="13">
        <f t="shared" si="4"/>
        <v>57.12000000000001</v>
      </c>
      <c r="N30" s="13">
        <f t="shared" si="4"/>
        <v>179.52</v>
      </c>
      <c r="O30" s="13">
        <f t="shared" si="1"/>
        <v>11392.380000000001</v>
      </c>
    </row>
    <row r="31" spans="8:8">
      <c r="A31" s="1" t="str">
        <f t="shared" si="0"/>
        <v>AGP  Downside2024/25 </v>
      </c>
      <c r="B31" s="1" t="s">
        <v>73</v>
      </c>
      <c r="C31" s="14" t="s">
        <v>70</v>
      </c>
      <c r="D31" s="5">
        <f>D28*98%</f>
        <v>98.0</v>
      </c>
      <c r="E31" s="5">
        <f t="shared" si="5" ref="E31:N31">E28*98%</f>
        <v>466.48</v>
      </c>
      <c r="F31" s="5">
        <f t="shared" si="5"/>
        <v>509.59999999999997</v>
      </c>
      <c r="G31" s="5">
        <f t="shared" si="5"/>
        <v>2161.88</v>
      </c>
      <c r="H31" s="5">
        <f t="shared" si="5"/>
        <v>4002.32</v>
      </c>
      <c r="I31" s="5">
        <f t="shared" si="5"/>
        <v>607.6</v>
      </c>
      <c r="J31" s="5">
        <f t="shared" si="5"/>
        <v>443.94</v>
      </c>
      <c r="K31" s="5">
        <f t="shared" si="5"/>
        <v>1774.78</v>
      </c>
      <c r="L31" s="5">
        <f t="shared" si="5"/>
        <v>653.66</v>
      </c>
      <c r="M31" s="5">
        <f t="shared" si="5"/>
        <v>54.88</v>
      </c>
      <c r="N31" s="5">
        <f t="shared" si="5"/>
        <v>172.48</v>
      </c>
      <c r="O31" s="5">
        <f t="shared" si="1"/>
        <v>10945.62</v>
      </c>
      <c r="P31" s="11"/>
    </row>
    <row r="32" spans="8:8" s="22" ht="13.8" customFormat="1">
      <c r="A32" s="22" t="str">
        <f t="shared" si="0"/>
        <v>Risk/Potential2024/25 </v>
      </c>
      <c r="B32" s="22" t="s">
        <v>74</v>
      </c>
      <c r="C32" s="23" t="s">
        <v>70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>
        <f>SUM(D32:N32)</f>
        <v>0.0</v>
      </c>
      <c r="P32" s="25"/>
    </row>
    <row r="33" spans="8:8">
      <c r="A33" s="1" t="str">
        <f>_xlfn.CONCAT(B33,C33)</f>
        <v>After Risk/Potential2024/25 </v>
      </c>
      <c r="B33" s="1" t="s">
        <v>75</v>
      </c>
      <c r="C33" s="14" t="s">
        <v>70</v>
      </c>
      <c r="D33" s="5">
        <f>D28+D32</f>
        <v>100.0</v>
      </c>
      <c r="E33" s="5">
        <f t="shared" si="6" ref="E33:N33">E28+E32</f>
        <v>476.0</v>
      </c>
      <c r="F33" s="5">
        <f t="shared" si="6"/>
        <v>520.0</v>
      </c>
      <c r="G33" s="5">
        <f t="shared" si="6"/>
        <v>2206.0</v>
      </c>
      <c r="H33" s="5">
        <f t="shared" si="6"/>
        <v>4084.0</v>
      </c>
      <c r="I33" s="5">
        <f t="shared" si="6"/>
        <v>620.0</v>
      </c>
      <c r="J33" s="5">
        <f t="shared" si="6"/>
        <v>453.0</v>
      </c>
      <c r="K33" s="5">
        <f t="shared" si="6"/>
        <v>1811.0</v>
      </c>
      <c r="L33" s="5">
        <f t="shared" si="6"/>
        <v>667.0</v>
      </c>
      <c r="M33" s="5">
        <f t="shared" si="6"/>
        <v>56.0</v>
      </c>
      <c r="N33" s="5">
        <f t="shared" si="6"/>
        <v>176.0</v>
      </c>
      <c r="O33" s="5">
        <f>SUM(D33:N33)</f>
        <v>11169.0</v>
      </c>
      <c r="P33" s="11"/>
    </row>
    <row r="36" spans="8:8">
      <c r="A36" s="15" t="s">
        <v>76</v>
      </c>
      <c r="B36" s="15" t="s">
        <v>67</v>
      </c>
      <c r="C36" s="16" t="s">
        <v>77</v>
      </c>
      <c r="D36" s="8">
        <v>115.0</v>
      </c>
      <c r="E36" s="8">
        <v>418.0</v>
      </c>
      <c r="F36" s="8">
        <v>560.0</v>
      </c>
      <c r="G36" s="8">
        <v>1935.0</v>
      </c>
      <c r="H36" s="8">
        <v>3825.0</v>
      </c>
      <c r="I36" s="8">
        <v>640.0</v>
      </c>
      <c r="J36" s="8">
        <v>506.0</v>
      </c>
      <c r="K36" s="8">
        <v>1860.0</v>
      </c>
      <c r="L36" s="8">
        <v>740.0</v>
      </c>
      <c r="M36" s="8">
        <v>58.24000000000001</v>
      </c>
      <c r="N36" s="8">
        <v>160.0</v>
      </c>
      <c r="O36" s="26">
        <f>SUM(D36:N36)</f>
        <v>10817.24</v>
      </c>
      <c r="P36" s="27"/>
    </row>
    <row r="37" spans="8:8">
      <c r="A37" s="15" t="s">
        <v>78</v>
      </c>
      <c r="B37" s="15" t="s">
        <v>67</v>
      </c>
      <c r="C37" s="16" t="s">
        <v>79</v>
      </c>
      <c r="D37" s="8">
        <f>D36*D38+D36</f>
        <v>110.4</v>
      </c>
      <c r="E37" s="8">
        <f t="shared" si="7" ref="E37:N37">E36*E38+E36</f>
        <v>397.1</v>
      </c>
      <c r="F37" s="8">
        <f t="shared" si="7"/>
        <v>588.0</v>
      </c>
      <c r="G37" s="8">
        <f t="shared" si="7"/>
        <v>1896.3</v>
      </c>
      <c r="H37" s="8">
        <f t="shared" si="7"/>
        <v>3786.75</v>
      </c>
      <c r="I37" s="8">
        <f t="shared" si="7"/>
        <v>665.6</v>
      </c>
      <c r="J37" s="8">
        <f t="shared" si="7"/>
        <v>521.18</v>
      </c>
      <c r="K37" s="8">
        <f t="shared" si="7"/>
        <v>1934.4</v>
      </c>
      <c r="L37" s="8">
        <f t="shared" si="7"/>
        <v>769.6</v>
      </c>
      <c r="M37" s="8">
        <f t="shared" si="7"/>
        <v>59.9872</v>
      </c>
      <c r="N37" s="8">
        <f t="shared" si="7"/>
        <v>166.4</v>
      </c>
      <c r="O37" s="26">
        <f>SUM(D37:N37)</f>
        <v>10895.717200000001</v>
      </c>
      <c r="P37" s="27"/>
    </row>
    <row r="38" spans="8:8">
      <c r="A38" s="1" t="s">
        <v>71</v>
      </c>
      <c r="D38" s="9">
        <v>-0.04</v>
      </c>
      <c r="E38" s="9">
        <v>-0.05</v>
      </c>
      <c r="F38" s="9">
        <v>0.05</v>
      </c>
      <c r="G38" s="9">
        <v>-0.02</v>
      </c>
      <c r="H38" s="9">
        <v>-0.01</v>
      </c>
      <c r="I38" s="9">
        <v>0.04</v>
      </c>
      <c r="J38" s="9">
        <v>0.03</v>
      </c>
      <c r="K38" s="9">
        <v>0.04</v>
      </c>
      <c r="L38" s="9">
        <v>0.04</v>
      </c>
      <c r="M38" s="9">
        <v>0.03</v>
      </c>
      <c r="N38" s="9">
        <v>0.04</v>
      </c>
      <c r="O38" s="28">
        <f>O37/O36-1</f>
        <v>0.007254826554649929</v>
      </c>
      <c r="P38" s="10"/>
    </row>
    <row r="39" spans="8:8">
      <c r="D39" s="5">
        <v>0.05</v>
      </c>
      <c r="E39" s="5">
        <f t="shared" si="8" ref="E39:N39">E36-E28</f>
        <v>-58.0</v>
      </c>
      <c r="F39" s="5">
        <f t="shared" si="8"/>
        <v>40.0</v>
      </c>
      <c r="G39" s="5">
        <f t="shared" si="8"/>
        <v>-271.0</v>
      </c>
      <c r="H39" s="5">
        <f t="shared" si="8"/>
        <v>-259.0</v>
      </c>
      <c r="I39" s="5">
        <f t="shared" si="8"/>
        <v>20.0</v>
      </c>
      <c r="J39" s="5">
        <f t="shared" si="8"/>
        <v>53.0</v>
      </c>
      <c r="K39" s="5">
        <f t="shared" si="8"/>
        <v>49.0</v>
      </c>
      <c r="L39" s="5">
        <f t="shared" si="8"/>
        <v>73.0</v>
      </c>
      <c r="M39" s="5">
        <f t="shared" si="8"/>
        <v>2.240000000000002</v>
      </c>
      <c r="N39" s="5">
        <f t="shared" si="8"/>
        <v>-16.0</v>
      </c>
      <c r="O39" s="5">
        <f>O36-O28</f>
        <v>-351.7600000000002</v>
      </c>
    </row>
    <row r="40" spans="8:8">
      <c r="E40" s="2">
        <f>E28*110%</f>
        <v>523.6</v>
      </c>
      <c r="F40" s="2" t="s">
        <v>81</v>
      </c>
    </row>
    <row r="43" spans="8:8">
      <c r="G43" s="29"/>
    </row>
    <row r="44" spans="8:8">
      <c r="G44" s="29"/>
      <c r="K44" s="9"/>
    </row>
    <row r="45" spans="8:8">
      <c r="E45" s="9"/>
      <c r="G45" s="9"/>
    </row>
  </sheetData>
  <conditionalFormatting sqref="D38:O38">
    <cfRule type="colorScale" priority="1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D29:O29">
    <cfRule type="colorScale" priority="2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U43"/>
  <sheetViews>
    <sheetView tabSelected="1" workbookViewId="0">
      <selection activeCell="Q12" sqref="Q12:T37"/>
    </sheetView>
  </sheetViews>
  <sheetFormatPr defaultRowHeight="13.8" defaultColWidth="9"/>
  <cols>
    <col min="1" max="1" customWidth="1" width="18.777344" style="1"/>
    <col min="2" max="2" customWidth="1" width="10.777344" style="1"/>
    <col min="3" max="3" customWidth="1" width="12.777344" style="1"/>
    <col min="4" max="15" customWidth="1" width="10.886719" style="2"/>
    <col min="16" max="16" customWidth="1" bestFit="1" width="9.777344" style="1"/>
    <col min="17" max="17" customWidth="0" width="9.21875" style="30"/>
    <col min="18" max="19" customWidth="0" width="9.21875" style="1"/>
    <col min="20" max="20" customWidth="1" bestFit="1" width="13.21875" style="1"/>
    <col min="21" max="16384" customWidth="0" width="9.21875" style="1"/>
  </cols>
  <sheetData>
    <row r="1" spans="8:8">
      <c r="A1" s="1" t="s">
        <v>0</v>
      </c>
      <c r="C1" s="1" t="s">
        <v>82</v>
      </c>
      <c r="D1" s="2" t="s">
        <v>83</v>
      </c>
    </row>
    <row r="2" spans="8:8">
      <c r="A2" s="1" t="s">
        <v>2</v>
      </c>
      <c r="C2" s="1" t="s">
        <v>3</v>
      </c>
      <c r="J2" s="28"/>
      <c r="K2" s="31"/>
    </row>
    <row r="3" spans="8:8">
      <c r="A3" s="1" t="s">
        <v>4</v>
      </c>
      <c r="C3" s="1" t="s">
        <v>5</v>
      </c>
    </row>
    <row r="4" spans="8:8">
      <c r="A4" s="3" t="s">
        <v>6</v>
      </c>
      <c r="B4" s="3" t="s">
        <v>7</v>
      </c>
      <c r="C4" s="32" t="s">
        <v>8</v>
      </c>
      <c r="D4" s="33" t="s">
        <v>9</v>
      </c>
      <c r="E4" s="33" t="s">
        <v>10</v>
      </c>
      <c r="F4" s="33" t="s">
        <v>11</v>
      </c>
      <c r="G4" s="33" t="s">
        <v>12</v>
      </c>
      <c r="H4" s="33" t="s">
        <v>13</v>
      </c>
      <c r="I4" s="33" t="s">
        <v>14</v>
      </c>
      <c r="J4" s="33" t="s">
        <v>15</v>
      </c>
      <c r="K4" s="33" t="s">
        <v>16</v>
      </c>
      <c r="L4" s="33" t="s">
        <v>17</v>
      </c>
      <c r="M4" s="33" t="s">
        <v>18</v>
      </c>
      <c r="N4" s="33" t="s">
        <v>19</v>
      </c>
      <c r="O4" s="34" t="s">
        <v>20</v>
      </c>
    </row>
    <row r="5" spans="8:8">
      <c r="A5" s="1" t="s">
        <v>21</v>
      </c>
      <c r="B5" s="1" t="s">
        <v>22</v>
      </c>
      <c r="C5" s="2" t="s">
        <v>23</v>
      </c>
      <c r="D5" s="35">
        <f>('[1]Cotton_Area'!D5*'[1]Cotton_Yield'!D5/170)/100</f>
        <v>9.507882352941175</v>
      </c>
      <c r="E5" s="35">
        <f>('[1]Cotton_Area'!E5*'[1]Cotton_Yield'!E5/170)/100</f>
        <v>9.99</v>
      </c>
      <c r="F5" s="35">
        <f>('[1]Cotton_Area'!F5*'[1]Cotton_Yield'!F5/170)/100</f>
        <v>10.74</v>
      </c>
      <c r="G5" s="35">
        <f>('[1]Cotton_Area'!G5*'[1]Cotton_Yield'!G5/170)/100</f>
        <v>33.25</v>
      </c>
      <c r="H5" s="35">
        <f>('[1]Cotton_Area'!H5*'[1]Cotton_Yield'!H5/170)/100</f>
        <v>18.281</v>
      </c>
      <c r="I5" s="35">
        <f>('[1]Cotton_Area'!I5*'[1]Cotton_Yield'!I5/170)/100</f>
        <v>19.25776470588235</v>
      </c>
      <c r="J5" s="35">
        <f>('[1]Cotton_Area'!J5*'[1]Cotton_Yield'!J5/170)/100</f>
        <v>25.249411764705883</v>
      </c>
      <c r="K5" s="35">
        <f>('[1]Cotton_Area'!K5*'[1]Cotton_Yield'!K5/170)/100</f>
        <v>0.0</v>
      </c>
      <c r="L5" s="35">
        <f>('[1]Cotton_Area'!L5*'[1]Cotton_Yield'!L5/170)/100</f>
        <v>7.741176470588235</v>
      </c>
      <c r="M5" s="35">
        <f>('[1]Cotton_Area'!M5*'[1]Cotton_Yield'!M5/170)/100</f>
        <v>5.494823529411764</v>
      </c>
      <c r="N5" s="35">
        <f>('[1]Cotton_Area'!N5*'[1]Cotton_Yield'!N5/170)/100</f>
        <v>1.0014117647058824</v>
      </c>
      <c r="O5" s="36">
        <f>SUM(D5:N5)</f>
        <v>140.51347058823532</v>
      </c>
    </row>
    <row r="6" spans="8:8">
      <c r="A6" s="1" t="s">
        <v>24</v>
      </c>
      <c r="B6" s="1" t="s">
        <v>22</v>
      </c>
      <c r="C6" s="2" t="s">
        <v>25</v>
      </c>
      <c r="D6" s="35">
        <f>('[1]Cotton_Area'!D6*'[1]Cotton_Yield'!D6/170)/100</f>
        <v>9.247058823529413</v>
      </c>
      <c r="E6" s="35">
        <f>('[1]Cotton_Area'!E6*'[1]Cotton_Yield'!E6/170)/100</f>
        <v>5.49</v>
      </c>
      <c r="F6" s="35">
        <f>('[1]Cotton_Area'!F6*'[1]Cotton_Yield'!F6/170)/100</f>
        <v>7.001235294117647</v>
      </c>
      <c r="G6" s="35">
        <f>('[1]Cotton_Area'!G6*'[1]Cotton_Yield'!G6/170)/100</f>
        <v>32.549176470588236</v>
      </c>
      <c r="H6" s="35">
        <f>('[1]Cotton_Area'!H6*'[1]Cotton_Yield'!H6/170)/100</f>
        <v>34.18235294117647</v>
      </c>
      <c r="I6" s="35">
        <f>('[1]Cotton_Area'!I6*'[1]Cotton_Yield'!I6/170)/100</f>
        <v>20.00929411764706</v>
      </c>
      <c r="J6" s="35">
        <f>('[1]Cotton_Area'!J6*'[1]Cotton_Yield'!J6/170)/100</f>
        <v>26.75929411764706</v>
      </c>
      <c r="K6" s="35">
        <f>('[1]Cotton_Area'!K6*'[1]Cotton_Yield'!K6/170)/100</f>
        <v>0.0</v>
      </c>
      <c r="L6" s="35">
        <f>('[1]Cotton_Area'!L6*'[1]Cotton_Yield'!L6/170)/100</f>
        <v>6.987705882352941</v>
      </c>
      <c r="M6" s="35">
        <f>('[1]Cotton_Area'!M6*'[1]Cotton_Yield'!M6/170)/100</f>
        <v>5.0</v>
      </c>
      <c r="N6" s="35">
        <f>('[1]Cotton_Area'!N6*'[1]Cotton_Yield'!N6/170)/100</f>
        <v>0.7517647058823529</v>
      </c>
      <c r="O6" s="36">
        <f t="shared" si="0" ref="O6:O28">SUM(D6:N6)</f>
        <v>147.97788235294118</v>
      </c>
      <c r="P6" s="6"/>
      <c r="R6" s="6"/>
      <c r="S6" s="6"/>
      <c r="T6" s="10"/>
    </row>
    <row r="7" spans="8:8">
      <c r="A7" s="1" t="s">
        <v>26</v>
      </c>
      <c r="B7" s="1" t="s">
        <v>22</v>
      </c>
      <c r="C7" s="2" t="s">
        <v>27</v>
      </c>
      <c r="D7" s="35">
        <f>('[1]Cotton_Area'!D7*'[1]Cotton_Yield'!D7/170)/100</f>
        <v>7.5009411764705884</v>
      </c>
      <c r="E7" s="35">
        <f>('[1]Cotton_Area'!E7*'[1]Cotton_Yield'!E7/170)/100</f>
        <v>8.76194117647059</v>
      </c>
      <c r="F7" s="35">
        <f>('[1]Cotton_Area'!F7*'[1]Cotton_Yield'!F7/170)/100</f>
        <v>4.995294117647059</v>
      </c>
      <c r="G7" s="35">
        <f>('[1]Cotton_Area'!G7*'[1]Cotton_Yield'!G7/170)/100</f>
        <v>30.46929411764706</v>
      </c>
      <c r="H7" s="35">
        <f>('[1]Cotton_Area'!H7*'[1]Cotton_Yield'!H7/170)/100</f>
        <v>26.023529411764706</v>
      </c>
      <c r="I7" s="35">
        <f>('[1]Cotton_Area'!I7*'[1]Cotton_Yield'!I7/170)/100</f>
        <v>17.985</v>
      </c>
      <c r="J7" s="35">
        <f>('[1]Cotton_Area'!J7*'[1]Cotton_Yield'!J7/170)/100</f>
        <v>19.744352941176473</v>
      </c>
      <c r="K7" s="35">
        <f>('[1]Cotton_Area'!K7*'[1]Cotton_Yield'!K7/170)/100</f>
        <v>0.0</v>
      </c>
      <c r="L7" s="35">
        <f>('[1]Cotton_Area'!L7*'[1]Cotton_Yield'!L7/170)/100</f>
        <v>4.993411764705882</v>
      </c>
      <c r="M7" s="35">
        <f>('[1]Cotton_Area'!M7*'[1]Cotton_Yield'!M7/170)/100</f>
        <v>3.0</v>
      </c>
      <c r="N7" s="35">
        <f>('[1]Cotton_Area'!N7*'[1]Cotton_Yield'!N7/170)/100</f>
        <v>1.000764705882353</v>
      </c>
      <c r="O7" s="36">
        <f t="shared" si="0"/>
        <v>124.4745294117647</v>
      </c>
      <c r="P7" s="6"/>
      <c r="R7" s="6"/>
      <c r="S7" s="6"/>
      <c r="T7" s="10"/>
    </row>
    <row r="8" spans="8:8">
      <c r="A8" s="1" t="s">
        <v>28</v>
      </c>
      <c r="B8" s="1" t="s">
        <v>22</v>
      </c>
      <c r="C8" s="2" t="s">
        <v>29</v>
      </c>
      <c r="D8" s="35">
        <f>('[1]Cotton_Area'!D8*'[1]Cotton_Yield'!D8/170)/100</f>
        <v>10.342823529411765</v>
      </c>
      <c r="E8" s="35">
        <f>('[1]Cotton_Area'!E8*'[1]Cotton_Yield'!E8/170)/100</f>
        <v>11.510117647058824</v>
      </c>
      <c r="F8" s="35">
        <f>('[1]Cotton_Area'!F8*'[1]Cotton_Yield'!F8/170)/100</f>
        <v>9.14635294117647</v>
      </c>
      <c r="G8" s="35">
        <f>('[1]Cotton_Area'!G8*'[1]Cotton_Yield'!G8/170)/100</f>
        <v>49.99129411764706</v>
      </c>
      <c r="H8" s="35">
        <f>('[1]Cotton_Area'!H8*'[1]Cotton_Yield'!H8/170)/100</f>
        <v>31.07682352941176</v>
      </c>
      <c r="I8" s="35">
        <f>('[1]Cotton_Area'!I8*'[1]Cotton_Yield'!I8/170)/100</f>
        <v>19.64205882352941</v>
      </c>
      <c r="J8" s="35">
        <f>('[1]Cotton_Area'!J8*'[1]Cotton_Yield'!J8/170)/100</f>
        <v>27.424058823529414</v>
      </c>
      <c r="K8" s="35">
        <f>('[1]Cotton_Area'!K8*'[1]Cotton_Yield'!K8/170)/100</f>
        <v>0.0</v>
      </c>
      <c r="L8" s="35">
        <f>('[1]Cotton_Area'!L8*'[1]Cotton_Yield'!L8/170)/100</f>
        <v>4.197882352941177</v>
      </c>
      <c r="M8" s="35">
        <f>('[1]Cotton_Area'!M8*'[1]Cotton_Yield'!M8/170)/100</f>
        <v>3.7504117647058823</v>
      </c>
      <c r="N8" s="35">
        <f>('[1]Cotton_Area'!N8*'[1]Cotton_Yield'!N8/170)/100</f>
        <v>0.9990000000000001</v>
      </c>
      <c r="O8" s="36">
        <f t="shared" si="0"/>
        <v>168.08082352941173</v>
      </c>
      <c r="P8" s="6"/>
      <c r="R8" s="6"/>
      <c r="S8" s="6"/>
      <c r="T8" s="10"/>
    </row>
    <row r="9" spans="8:8">
      <c r="A9" s="1" t="s">
        <v>30</v>
      </c>
      <c r="B9" s="1" t="s">
        <v>22</v>
      </c>
      <c r="C9" s="2" t="s">
        <v>31</v>
      </c>
      <c r="D9" s="35">
        <f>('[1]Cotton_Area'!D9*'[1]Cotton_Yield'!D9/170)/100</f>
        <v>16.497588235294117</v>
      </c>
      <c r="E9" s="35">
        <f>('[1]Cotton_Area'!E9*'[1]Cotton_Yield'!E9/170)/100</f>
        <v>15.488470588235293</v>
      </c>
      <c r="F9" s="35">
        <f>('[1]Cotton_Area'!F9*'[1]Cotton_Yield'!F9/170)/100</f>
        <v>11.001529411764707</v>
      </c>
      <c r="G9" s="35">
        <f>('[1]Cotton_Area'!G9*'[1]Cotton_Yield'!G9/170)/100</f>
        <v>72.98858823529412</v>
      </c>
      <c r="H9" s="35">
        <f>('[1]Cotton_Area'!H9*'[1]Cotton_Yield'!H9/170)/100</f>
        <v>51.955294117647064</v>
      </c>
      <c r="I9" s="35">
        <f>('[1]Cotton_Area'!I9*'[1]Cotton_Yield'!I9/170)/100</f>
        <v>19.38070588235294</v>
      </c>
      <c r="J9" s="35">
        <f>('[1]Cotton_Area'!J9*'[1]Cotton_Yield'!J9/170)/100</f>
        <v>32.49894117647059</v>
      </c>
      <c r="K9" s="35">
        <f>('[1]Cotton_Area'!K9*'[1]Cotton_Yield'!K9/170)/100</f>
        <v>0.0</v>
      </c>
      <c r="L9" s="35">
        <f>('[1]Cotton_Area'!L9*'[1]Cotton_Yield'!L9/170)/100</f>
        <v>7.998882352941177</v>
      </c>
      <c r="M9" s="35">
        <f>('[1]Cotton_Area'!M9*'[1]Cotton_Yield'!M9/170)/100</f>
        <v>5.501470588235294</v>
      </c>
      <c r="N9" s="35">
        <f>('[1]Cotton_Area'!N9*'[1]Cotton_Yield'!N9/170)/100</f>
        <v>1.0</v>
      </c>
      <c r="O9" s="36">
        <f t="shared" si="0"/>
        <v>234.3114705882353</v>
      </c>
      <c r="P9" s="6"/>
      <c r="R9" s="6"/>
      <c r="S9" s="6"/>
      <c r="T9" s="10"/>
    </row>
    <row r="10" spans="8:8">
      <c r="A10" s="1" t="s">
        <v>32</v>
      </c>
      <c r="B10" s="1" t="s">
        <v>22</v>
      </c>
      <c r="C10" s="2" t="s">
        <v>33</v>
      </c>
      <c r="D10" s="35">
        <f>('[1]Cotton_Area'!D10*'[1]Cotton_Yield'!D10/170)/100</f>
        <v>19.986470588235296</v>
      </c>
      <c r="E10" s="35">
        <f>('[1]Cotton_Area'!E10*'[1]Cotton_Yield'!E10/170)/100</f>
        <v>12.997470588235295</v>
      </c>
      <c r="F10" s="35">
        <f>('[1]Cotton_Area'!F10*'[1]Cotton_Yield'!F10/170)/100</f>
        <v>10.999235294117648</v>
      </c>
      <c r="G10" s="35">
        <f>('[1]Cotton_Area'!G10*'[1]Cotton_Yield'!G10/170)/100</f>
        <v>89.11482352941177</v>
      </c>
      <c r="H10" s="35">
        <f>('[1]Cotton_Area'!H10*'[1]Cotton_Yield'!H10/170)/100</f>
        <v>36.02205882352941</v>
      </c>
      <c r="I10" s="35">
        <f>('[1]Cotton_Area'!I10*'[1]Cotton_Yield'!I10/170)/100</f>
        <v>18.016470588235293</v>
      </c>
      <c r="J10" s="35">
        <f>('[1]Cotton_Area'!J10*'[1]Cotton_Yield'!J10/170)/100</f>
        <v>32.023</v>
      </c>
      <c r="K10" s="35">
        <f>('[1]Cotton_Area'!K10*'[1]Cotton_Yield'!K10/170)/100</f>
        <v>0.0</v>
      </c>
      <c r="L10" s="35">
        <f>('[1]Cotton_Area'!L10*'[1]Cotton_Yield'!L10/170)/100</f>
        <v>6.510823529411765</v>
      </c>
      <c r="M10" s="35">
        <f>('[1]Cotton_Area'!M10*'[1]Cotton_Yield'!M10/170)/100</f>
        <v>5.501176470588235</v>
      </c>
      <c r="N10" s="35">
        <f>('[1]Cotton_Area'!N10*'[1]Cotton_Yield'!N10/170)/100</f>
        <v>0.9991176470588234</v>
      </c>
      <c r="O10" s="36">
        <f t="shared" si="0"/>
        <v>232.17064705882356</v>
      </c>
      <c r="P10" s="6"/>
      <c r="R10" s="6"/>
      <c r="S10" s="6"/>
      <c r="T10" s="10"/>
    </row>
    <row r="11" spans="8:8">
      <c r="A11" s="1" t="s">
        <v>34</v>
      </c>
      <c r="B11" s="1" t="s">
        <v>22</v>
      </c>
      <c r="C11" s="2" t="s">
        <v>35</v>
      </c>
      <c r="D11" s="35">
        <f>('[1]Cotton_Area'!D11*'[1]Cotton_Yield'!D11/170)/100</f>
        <v>23.994352941176473</v>
      </c>
      <c r="E11" s="35">
        <f>('[1]Cotton_Area'!E11*'[1]Cotton_Yield'!E11/170)/100</f>
        <v>14.995882352941175</v>
      </c>
      <c r="F11" s="35">
        <f>('[1]Cotton_Area'!F11*'[1]Cotton_Yield'!F11/170)/100</f>
        <v>8.997058823529413</v>
      </c>
      <c r="G11" s="35">
        <f>('[1]Cotton_Area'!G11*'[1]Cotton_Yield'!G11/170)/100</f>
        <v>103.05117647058823</v>
      </c>
      <c r="H11" s="35">
        <f>('[1]Cotton_Area'!H11*'[1]Cotton_Yield'!H11/170)/100</f>
        <v>50.07752941176471</v>
      </c>
      <c r="I11" s="35">
        <f>('[1]Cotton_Area'!I11*'[1]Cotton_Yield'!I11/170)/100</f>
        <v>18.982058823529414</v>
      </c>
      <c r="J11" s="35">
        <f>('[1]Cotton_Area'!J11*'[1]Cotton_Yield'!J11/170)/100</f>
        <v>36.02117647058824</v>
      </c>
      <c r="K11" s="35">
        <f>('[1]Cotton_Area'!K11*'[1]Cotton_Yield'!K11/170)/100</f>
        <v>0.0</v>
      </c>
      <c r="L11" s="35">
        <f>('[1]Cotton_Area'!L11*'[1]Cotton_Yield'!L11/170)/100</f>
        <v>6.003529411764706</v>
      </c>
      <c r="M11" s="35">
        <f>('[1]Cotton_Area'!M11*'[1]Cotton_Yield'!M11/170)/100</f>
        <v>5.0</v>
      </c>
      <c r="N11" s="35">
        <f>('[1]Cotton_Area'!N11*'[1]Cotton_Yield'!N11/170)/100</f>
        <v>0.9981764705882352</v>
      </c>
      <c r="O11" s="36">
        <f t="shared" si="0"/>
        <v>268.1209411764706</v>
      </c>
      <c r="P11" s="6"/>
      <c r="R11" s="6"/>
      <c r="S11" s="6"/>
      <c r="T11" s="10"/>
    </row>
    <row r="12" spans="8:8">
      <c r="A12" s="1" t="s">
        <v>36</v>
      </c>
      <c r="B12" s="1" t="s">
        <v>22</v>
      </c>
      <c r="C12" s="2" t="s">
        <v>37</v>
      </c>
      <c r="D12" s="35">
        <f>('[1]Cotton_Area'!D12*'[1]Cotton_Yield'!D12/170)/100</f>
        <v>21.992705882352944</v>
      </c>
      <c r="E12" s="35">
        <f>('[1]Cotton_Area'!E12*'[1]Cotton_Yield'!E12/170)/100</f>
        <v>15.995823529411764</v>
      </c>
      <c r="F12" s="35">
        <f>('[1]Cotton_Area'!F12*'[1]Cotton_Yield'!F12/170)/100</f>
        <v>8.993470588235294</v>
      </c>
      <c r="G12" s="35">
        <f>('[1]Cotton_Area'!G12*'[1]Cotton_Yield'!G12/170)/100</f>
        <v>111.98188235294117</v>
      </c>
      <c r="H12" s="35">
        <f>('[1]Cotton_Area'!H12*'[1]Cotton_Yield'!H12/170)/100</f>
        <v>62.001176470588234</v>
      </c>
      <c r="I12" s="35">
        <f>('[1]Cotton_Area'!I12*'[1]Cotton_Yield'!I12/170)/100</f>
        <v>21.01235294117647</v>
      </c>
      <c r="J12" s="35">
        <f>('[1]Cotton_Area'!J12*'[1]Cotton_Yield'!J12/170)/100</f>
        <v>45.98858823529412</v>
      </c>
      <c r="K12" s="35">
        <f>('[1]Cotton_Area'!K12*'[1]Cotton_Yield'!K12/170)/100</f>
        <v>0.0</v>
      </c>
      <c r="L12" s="35">
        <f>('[1]Cotton_Area'!L12*'[1]Cotton_Yield'!L12/170)/100</f>
        <v>7.992705882352941</v>
      </c>
      <c r="M12" s="35">
        <f>('[1]Cotton_Area'!M12*'[1]Cotton_Yield'!M12/170)/100</f>
        <v>4.998</v>
      </c>
      <c r="N12" s="35">
        <f>('[1]Cotton_Area'!N12*'[1]Cotton_Yield'!N12/170)/100</f>
        <v>2.0011764705882356</v>
      </c>
      <c r="O12" s="36">
        <f t="shared" si="0"/>
        <v>302.95788235294117</v>
      </c>
      <c r="P12" s="6"/>
      <c r="R12" s="6"/>
      <c r="S12" s="6"/>
      <c r="T12" s="10"/>
    </row>
    <row r="13" spans="8:8">
      <c r="A13" s="1" t="s">
        <v>38</v>
      </c>
      <c r="B13" s="1" t="s">
        <v>22</v>
      </c>
      <c r="C13" s="2" t="s">
        <v>39</v>
      </c>
      <c r="D13" s="35">
        <f>('[1]Cotton_Area'!D13*'[1]Cotton_Yield'!D13/170)/100</f>
        <v>16.652588235294118</v>
      </c>
      <c r="E13" s="35">
        <f>('[1]Cotton_Area'!E13*'[1]Cotton_Yield'!E13/170)/100</f>
        <v>15.59770588235294</v>
      </c>
      <c r="F13" s="35">
        <f>('[1]Cotton_Area'!F13*'[1]Cotton_Yield'!F13/170)/100</f>
        <v>14.939294117647059</v>
      </c>
      <c r="G13" s="35">
        <f>('[1]Cotton_Area'!G13*'[1]Cotton_Yield'!G13/170)/100</f>
        <v>97.74264705882354</v>
      </c>
      <c r="H13" s="35">
        <f>('[1]Cotton_Area'!H13*'[1]Cotton_Yield'!H13/170)/100</f>
        <v>69.23576470588236</v>
      </c>
      <c r="I13" s="35">
        <f>('[1]Cotton_Area'!I13*'[1]Cotton_Yield'!I13/170)/100</f>
        <v>16.784529411764705</v>
      </c>
      <c r="J13" s="35">
        <f>('[1]Cotton_Area'!J13*'[1]Cotton_Yield'!J13/170)/100</f>
        <v>58.13235294117647</v>
      </c>
      <c r="K13" s="35">
        <f>('[1]Cotton_Area'!K13*'[1]Cotton_Yield'!K13/170)/100</f>
        <v>0.0</v>
      </c>
      <c r="L13" s="35">
        <f>('[1]Cotton_Area'!L13*'[1]Cotton_Yield'!L13/170)/100</f>
        <v>10.491764705882353</v>
      </c>
      <c r="M13" s="35">
        <f>('[1]Cotton_Area'!M13*'[1]Cotton_Yield'!M13/170)/100</f>
        <v>4.331294117647059</v>
      </c>
      <c r="N13" s="35">
        <f>('[1]Cotton_Area'!N13*'[1]Cotton_Yield'!N13/170)/100</f>
        <v>1.5308823529411766</v>
      </c>
      <c r="O13" s="36">
        <f t="shared" si="0"/>
        <v>305.43882352941176</v>
      </c>
      <c r="P13" s="6"/>
      <c r="R13" s="6"/>
      <c r="S13" s="6"/>
      <c r="T13" s="10"/>
    </row>
    <row r="14" spans="8:8">
      <c r="A14" s="1" t="s">
        <v>40</v>
      </c>
      <c r="B14" s="1" t="s">
        <v>22</v>
      </c>
      <c r="C14" s="2" t="s">
        <v>41</v>
      </c>
      <c r="D14" s="35">
        <f>('[1]Cotton_Area'!D14*'[1]Cotton_Yield'!D14/170)/100</f>
        <v>18.48764705882353</v>
      </c>
      <c r="E14" s="35">
        <f>('[1]Cotton_Area'!E14*'[1]Cotton_Yield'!E14/170)/100</f>
        <v>16.988470588235295</v>
      </c>
      <c r="F14" s="35">
        <f>('[1]Cotton_Area'!F14*'[1]Cotton_Yield'!F14/170)/100</f>
        <v>10.109117647058824</v>
      </c>
      <c r="G14" s="35">
        <f>('[1]Cotton_Area'!G14*'[1]Cotton_Yield'!G14/170)/100</f>
        <v>106.24929411764705</v>
      </c>
      <c r="H14" s="35">
        <f>('[1]Cotton_Area'!H14*'[1]Cotton_Yield'!H14/170)/100</f>
        <v>88.5745294117647</v>
      </c>
      <c r="I14" s="35">
        <f>('[1]Cotton_Area'!I14*'[1]Cotton_Yield'!I14/170)/100</f>
        <v>17.70294117647059</v>
      </c>
      <c r="J14" s="35">
        <f>('[1]Cotton_Area'!J14*'[1]Cotton_Yield'!J14/170)/100</f>
        <v>59.23482352941176</v>
      </c>
      <c r="K14" s="35">
        <f>('[1]Cotton_Area'!K14*'[1]Cotton_Yield'!K14/170)/100</f>
        <v>0.0</v>
      </c>
      <c r="L14" s="35">
        <f>('[1]Cotton_Area'!L14*'[1]Cotton_Yield'!L14/170)/100</f>
        <v>11.09235294117647</v>
      </c>
      <c r="M14" s="35">
        <f>('[1]Cotton_Area'!M14*'[1]Cotton_Yield'!M14/170)/100</f>
        <v>7.08</v>
      </c>
      <c r="N14" s="35">
        <f>('[1]Cotton_Area'!N14*'[1]Cotton_Yield'!N14/170)/100</f>
        <v>4.046</v>
      </c>
      <c r="O14" s="36">
        <f t="shared" si="0"/>
        <v>339.5651764705882</v>
      </c>
      <c r="P14" s="6"/>
      <c r="R14" s="6"/>
      <c r="S14" s="6"/>
      <c r="T14" s="10"/>
    </row>
    <row r="15" spans="8:8">
      <c r="A15" s="1" t="s">
        <v>42</v>
      </c>
      <c r="B15" s="1" t="s">
        <v>22</v>
      </c>
      <c r="C15" s="2" t="s">
        <v>43</v>
      </c>
      <c r="D15" s="35">
        <f>('[1]Cotton_Area'!D15*'[1]Cotton_Yield'!D15/170)/100</f>
        <v>19.99529411764706</v>
      </c>
      <c r="E15" s="35">
        <f>('[1]Cotton_Area'!E15*'[1]Cotton_Yield'!E15/170)/100</f>
        <v>26.01705882352941</v>
      </c>
      <c r="F15" s="35">
        <f>('[1]Cotton_Area'!F15*'[1]Cotton_Yield'!F15/170)/100</f>
        <v>17.998235294117645</v>
      </c>
      <c r="G15" s="35">
        <f>('[1]Cotton_Area'!G15*'[1]Cotton_Yield'!G15/170)/100</f>
        <v>121.96470588235292</v>
      </c>
      <c r="H15" s="35">
        <f>('[1]Cotton_Area'!H15*'[1]Cotton_Yield'!H15/170)/100</f>
        <v>75.96694117647058</v>
      </c>
      <c r="I15" s="35">
        <f>('[1]Cotton_Area'!I15*'[1]Cotton_Yield'!I15/170)/100</f>
        <v>17.982235294117647</v>
      </c>
      <c r="J15" s="35">
        <f>('[1]Cotton_Area'!J15*'[1]Cotton_Yield'!J15/170)/100</f>
        <v>60.01747058823529</v>
      </c>
      <c r="K15" s="35">
        <f>('[1]Cotton_Area'!K15*'[1]Cotton_Yield'!K15/170)/100</f>
        <v>0.0</v>
      </c>
      <c r="L15" s="35">
        <f>('[1]Cotton_Area'!L15*'[1]Cotton_Yield'!L15/170)/100</f>
        <v>14.990588235294116</v>
      </c>
      <c r="M15" s="35">
        <f>('[1]Cotton_Area'!M15*'[1]Cotton_Yield'!M15/170)/100</f>
        <v>6.501352941176469</v>
      </c>
      <c r="N15" s="35">
        <f>('[1]Cotton_Area'!N15*'[1]Cotton_Yield'!N15/170)/100</f>
        <v>5.484705882352942</v>
      </c>
      <c r="O15" s="36">
        <f t="shared" si="0"/>
        <v>366.9185882352941</v>
      </c>
      <c r="Q15" s="5"/>
      <c r="R15" s="6"/>
      <c r="S15" s="6"/>
      <c r="T15" s="10"/>
    </row>
    <row r="16" spans="8:8">
      <c r="A16" s="1" t="s">
        <v>44</v>
      </c>
      <c r="B16" s="1" t="s">
        <v>22</v>
      </c>
      <c r="C16" s="2" t="s">
        <v>45</v>
      </c>
      <c r="D16" s="35">
        <f>('[1]Cotton_Area'!D16*'[1]Cotton_Yield'!D16/170)/100</f>
        <v>21.00705882352941</v>
      </c>
      <c r="E16" s="35">
        <f>('[1]Cotton_Area'!E16*'[1]Cotton_Yield'!E16/170)/100</f>
        <v>26.00470588235294</v>
      </c>
      <c r="F16" s="35">
        <f>('[1]Cotton_Area'!F16*'[1]Cotton_Yield'!F16/170)/100</f>
        <v>16.994117647058825</v>
      </c>
      <c r="G16" s="35">
        <f>('[1]Cotton_Area'!G16*'[1]Cotton_Yield'!G16/170)/100</f>
        <v>92.97652941176472</v>
      </c>
      <c r="H16" s="35">
        <f>('[1]Cotton_Area'!H16*'[1]Cotton_Yield'!H16/170)/100</f>
        <v>80.9689411764706</v>
      </c>
      <c r="I16" s="35">
        <f>('[1]Cotton_Area'!I16*'[1]Cotton_Yield'!I16/170)/100</f>
        <v>19.053529411764703</v>
      </c>
      <c r="J16" s="35">
        <f>('[1]Cotton_Area'!J16*'[1]Cotton_Yield'!J16/170)/100</f>
        <v>84.0</v>
      </c>
      <c r="K16" s="35">
        <f>('[1]Cotton_Area'!K16*'[1]Cotton_Yield'!K16/170)/100</f>
        <v>0.0</v>
      </c>
      <c r="L16" s="35">
        <f>('[1]Cotton_Area'!L16*'[1]Cotton_Yield'!L16/170)/100</f>
        <v>17.003529411764706</v>
      </c>
      <c r="M16" s="35">
        <f>('[1]Cotton_Area'!M16*'[1]Cotton_Yield'!M16/170)/100</f>
        <v>6.0009411764705884</v>
      </c>
      <c r="N16" s="35">
        <f>('[1]Cotton_Area'!N16*'[1]Cotton_Yield'!N16/170)/100</f>
        <v>6.0</v>
      </c>
      <c r="O16" s="36">
        <f t="shared" si="0"/>
        <v>370.0093529411765</v>
      </c>
      <c r="Q16" s="37"/>
      <c r="R16" s="6"/>
      <c r="S16" s="6"/>
      <c r="T16" s="10"/>
    </row>
    <row r="17" spans="8:8">
      <c r="A17" s="1" t="s">
        <v>46</v>
      </c>
      <c r="B17" s="1" t="s">
        <v>22</v>
      </c>
      <c r="C17" s="2" t="s">
        <v>47</v>
      </c>
      <c r="D17" s="35">
        <f>('[1]Cotton_Area'!D17*'[1]Cotton_Yield'!D17/170)/100</f>
        <v>20.988235294117647</v>
      </c>
      <c r="E17" s="35">
        <f>('[1]Cotton_Area'!E17*'[1]Cotton_Yield'!E17/170)/100</f>
        <v>23.993882352941178</v>
      </c>
      <c r="F17" s="35">
        <f>('[1]Cotton_Area'!F17*'[1]Cotton_Yield'!F17/170)/100</f>
        <v>14.009294117647059</v>
      </c>
      <c r="G17" s="35">
        <f>('[1]Cotton_Area'!G17*'[1]Cotton_Yield'!G17/170)/100</f>
        <v>124.02370588235291</v>
      </c>
      <c r="H17" s="35">
        <f>('[1]Cotton_Area'!H17*'[1]Cotton_Yield'!H17/170)/100</f>
        <v>84.08658823529412</v>
      </c>
      <c r="I17" s="35">
        <f>('[1]Cotton_Area'!I17*'[1]Cotton_Yield'!I17/170)/100</f>
        <v>18.987764705882352</v>
      </c>
      <c r="J17" s="35">
        <f>('[1]Cotton_Area'!J17*'[1]Cotton_Yield'!J17/170)/100</f>
        <v>77.29117647058824</v>
      </c>
      <c r="K17" s="35">
        <f>('[1]Cotton_Area'!K17*'[1]Cotton_Yield'!K17/170)/100</f>
        <v>0.0</v>
      </c>
      <c r="L17" s="35">
        <f>('[1]Cotton_Area'!L17*'[1]Cotton_Yield'!L17/170)/100</f>
        <v>23.014235294117647</v>
      </c>
      <c r="M17" s="35">
        <f>('[1]Cotton_Area'!M17*'[1]Cotton_Yield'!M17/170)/100</f>
        <v>4.998117647058823</v>
      </c>
      <c r="N17" s="35">
        <f>('[1]Cotton_Area'!N17*'[1]Cotton_Yield'!N17/170)/100</f>
        <v>6.0021764705882354</v>
      </c>
      <c r="O17" s="36">
        <f t="shared" si="0"/>
        <v>397.39517647058824</v>
      </c>
      <c r="Q17" s="37"/>
      <c r="R17" s="6"/>
      <c r="S17" s="6"/>
      <c r="T17" s="10"/>
    </row>
    <row r="18" spans="8:8">
      <c r="A18" s="1" t="s">
        <v>48</v>
      </c>
      <c r="B18" s="1" t="s">
        <v>22</v>
      </c>
      <c r="C18" s="2" t="s">
        <v>49</v>
      </c>
      <c r="D18" s="35">
        <f>('[1]Cotton_Area'!D18*'[1]Cotton_Yield'!D18/170)/100</f>
        <v>12.995294117647058</v>
      </c>
      <c r="E18" s="35">
        <f>('[1]Cotton_Area'!E18*'[1]Cotton_Yield'!E18/170)/100</f>
        <v>22.98494117647059</v>
      </c>
      <c r="F18" s="35">
        <f>('[1]Cotton_Area'!F18*'[1]Cotton_Yield'!F18/170)/100</f>
        <v>16.98770588235294</v>
      </c>
      <c r="G18" s="35">
        <f>('[1]Cotton_Area'!G18*'[1]Cotton_Yield'!G18/170)/100</f>
        <v>112.06182352941175</v>
      </c>
      <c r="H18" s="35">
        <f>('[1]Cotton_Area'!H18*'[1]Cotton_Yield'!H18/170)/100</f>
        <v>80.10294117647058</v>
      </c>
      <c r="I18" s="35">
        <f>('[1]Cotton_Area'!I18*'[1]Cotton_Yield'!I18/170)/100</f>
        <v>19.009529411764706</v>
      </c>
      <c r="J18" s="35">
        <f>('[1]Cotton_Area'!J18*'[1]Cotton_Yield'!J18/170)/100</f>
        <v>77.06341176470588</v>
      </c>
      <c r="K18" s="35">
        <f>('[1]Cotton_Area'!K18*'[1]Cotton_Yield'!K18/170)/100</f>
        <v>0.0</v>
      </c>
      <c r="L18" s="35">
        <f>('[1]Cotton_Area'!L18*'[1]Cotton_Yield'!L18/170)/100</f>
        <v>34.02205882352941</v>
      </c>
      <c r="M18" s="35">
        <f>('[1]Cotton_Area'!M18*'[1]Cotton_Yield'!M18/170)/100</f>
        <v>5.995</v>
      </c>
      <c r="N18" s="35">
        <f>('[1]Cotton_Area'!N18*'[1]Cotton_Yield'!N18/170)/100</f>
        <v>5.0188235294117645</v>
      </c>
      <c r="O18" s="36">
        <f t="shared" si="0"/>
        <v>386.24152941176465</v>
      </c>
      <c r="Q18" s="37"/>
      <c r="R18" s="6"/>
      <c r="S18" s="6"/>
      <c r="T18" s="10"/>
    </row>
    <row r="19" spans="8:8">
      <c r="A19" s="1" t="s">
        <v>50</v>
      </c>
      <c r="B19" s="1" t="s">
        <v>22</v>
      </c>
      <c r="C19" s="2" t="s">
        <v>51</v>
      </c>
      <c r="D19" s="35">
        <f>('[1]Cotton_Area'!D19*'[1]Cotton_Yield'!D19/170)/100</f>
        <v>6.241588235294118</v>
      </c>
      <c r="E19" s="35">
        <f>('[1]Cotton_Area'!E19*'[1]Cotton_Yield'!E19/170)/100</f>
        <v>14.506764705882354</v>
      </c>
      <c r="F19" s="35">
        <f>('[1]Cotton_Area'!F19*'[1]Cotton_Yield'!F19/170)/100</f>
        <v>14.994823529411764</v>
      </c>
      <c r="G19" s="35">
        <f>('[1]Cotton_Area'!G19*'[1]Cotton_Yield'!G19/170)/100</f>
        <v>89.98611764705882</v>
      </c>
      <c r="H19" s="35">
        <f>('[1]Cotton_Area'!H19*'[1]Cotton_Yield'!H19/170)/100</f>
        <v>75.9734705882353</v>
      </c>
      <c r="I19" s="35">
        <f>('[1]Cotton_Area'!I19*'[1]Cotton_Yield'!I19/170)/100</f>
        <v>18.016</v>
      </c>
      <c r="J19" s="35">
        <f>('[1]Cotton_Area'!J19*'[1]Cotton_Yield'!J19/170)/100</f>
        <v>81.77823529411765</v>
      </c>
      <c r="K19" s="35">
        <f>('[1]Cotton_Area'!K19*'[1]Cotton_Yield'!K19/170)/100</f>
        <v>0.0</v>
      </c>
      <c r="L19" s="35">
        <f>('[1]Cotton_Area'!L19*'[1]Cotton_Yield'!L19/170)/100</f>
        <v>19.486588235294118</v>
      </c>
      <c r="M19" s="35">
        <f>('[1]Cotton_Area'!M19*'[1]Cotton_Yield'!M19/170)/100</f>
        <v>5.997411764705882</v>
      </c>
      <c r="N19" s="35">
        <f>('[1]Cotton_Area'!N19*'[1]Cotton_Yield'!N19/170)/100</f>
        <v>5.044117647058823</v>
      </c>
      <c r="O19" s="36">
        <f t="shared" si="0"/>
        <v>332.02511764705883</v>
      </c>
      <c r="Q19" s="5"/>
      <c r="R19" s="6"/>
      <c r="S19" s="6"/>
      <c r="T19" s="10"/>
    </row>
    <row r="20" spans="8:8">
      <c r="A20" s="1" t="s">
        <v>52</v>
      </c>
      <c r="B20" s="1" t="s">
        <v>22</v>
      </c>
      <c r="C20" s="2" t="s">
        <v>53</v>
      </c>
      <c r="D20" s="35">
        <f>('[1]Cotton_Area'!D20*'[1]Cotton_Yield'!D20/170)/100</f>
        <v>9.002647058823529</v>
      </c>
      <c r="E20" s="35">
        <f>('[1]Cotton_Area'!E20*'[1]Cotton_Yield'!E20/170)/100</f>
        <v>20.486470588235292</v>
      </c>
      <c r="F20" s="35">
        <f>('[1]Cotton_Area'!F20*'[1]Cotton_Yield'!F20/170)/100</f>
        <v>16.51270588235294</v>
      </c>
      <c r="G20" s="35">
        <f>('[1]Cotton_Area'!G20*'[1]Cotton_Yield'!G20/170)/100</f>
        <v>94.99976470588236</v>
      </c>
      <c r="H20" s="35">
        <f>('[1]Cotton_Area'!H20*'[1]Cotton_Yield'!H20/170)/100</f>
        <v>88.51764705882353</v>
      </c>
      <c r="I20" s="35">
        <f>('[1]Cotton_Area'!I20*'[1]Cotton_Yield'!I20/170)/100</f>
        <v>20.506941176470587</v>
      </c>
      <c r="J20" s="35">
        <f>('[1]Cotton_Area'!J20*'[1]Cotton_Yield'!J20/170)/100</f>
        <v>67.05211764705882</v>
      </c>
      <c r="K20" s="35">
        <f>('[1]Cotton_Area'!K20*'[1]Cotton_Yield'!K20/170)/100</f>
        <v>0.0</v>
      </c>
      <c r="L20" s="35">
        <f>('[1]Cotton_Area'!L20*'[1]Cotton_Yield'!L20/170)/100</f>
        <v>18.0</v>
      </c>
      <c r="M20" s="35">
        <f>('[1]Cotton_Area'!M20*'[1]Cotton_Yield'!M20/170)/100</f>
        <v>5.0034117647058824</v>
      </c>
      <c r="N20" s="35">
        <f>('[1]Cotton_Area'!N20*'[1]Cotton_Yield'!N20/170)/100</f>
        <v>5.000117647058823</v>
      </c>
      <c r="O20" s="36">
        <f t="shared" si="0"/>
        <v>345.08182352941174</v>
      </c>
      <c r="Q20" s="5"/>
      <c r="R20" s="6"/>
      <c r="S20" s="6"/>
      <c r="T20" s="10"/>
    </row>
    <row r="21" spans="8:8">
      <c r="A21" s="1" t="s">
        <v>54</v>
      </c>
      <c r="B21" s="1" t="s">
        <v>22</v>
      </c>
      <c r="C21" s="2" t="s">
        <v>55</v>
      </c>
      <c r="D21" s="35">
        <f>('[1]Cotton_Area'!D21*'[1]Cotton_Yield'!D21/170)/100</f>
        <v>11.503058823529411</v>
      </c>
      <c r="E21" s="35">
        <f>('[1]Cotton_Area'!E21*'[1]Cotton_Yield'!E21/170)/100</f>
        <v>22.509882352941176</v>
      </c>
      <c r="F21" s="35">
        <f>('[1]Cotton_Area'!F21*'[1]Cotton_Yield'!F21/170)/100</f>
        <v>21.985882352941175</v>
      </c>
      <c r="G21" s="35">
        <f>('[1]Cotton_Area'!G21*'[1]Cotton_Yield'!G21/170)/100</f>
        <v>103.99423529411764</v>
      </c>
      <c r="H21" s="35">
        <f>('[1]Cotton_Area'!H21*'[1]Cotton_Yield'!H21/170)/100</f>
        <v>84.88241176470588</v>
      </c>
      <c r="I21" s="35">
        <f>('[1]Cotton_Area'!I21*'[1]Cotton_Yield'!I21/170)/100</f>
        <v>20.502</v>
      </c>
      <c r="J21" s="35">
        <f>('[1]Cotton_Area'!J21*'[1]Cotton_Yield'!J21/170)/100</f>
        <v>75.48264705882353</v>
      </c>
      <c r="K21" s="35">
        <f>('[1]Cotton_Area'!K21*'[1]Cotton_Yield'!K21/170)/100</f>
        <v>0.0</v>
      </c>
      <c r="L21" s="35">
        <f>('[1]Cotton_Area'!L21*'[1]Cotton_Yield'!L21/170)/100</f>
        <v>17.991529411764706</v>
      </c>
      <c r="M21" s="35">
        <f>('[1]Cotton_Area'!M21*'[1]Cotton_Yield'!M21/170)/100</f>
        <v>5.495588235294117</v>
      </c>
      <c r="N21" s="35">
        <f>('[1]Cotton_Area'!N21*'[1]Cotton_Yield'!N21/170)/100</f>
        <v>5.528823529411764</v>
      </c>
      <c r="O21" s="36">
        <f t="shared" si="0"/>
        <v>369.8760588235294</v>
      </c>
      <c r="Q21" s="5"/>
      <c r="R21" s="6"/>
      <c r="S21" s="6"/>
      <c r="T21" s="10"/>
    </row>
    <row r="22" spans="8:8">
      <c r="A22" s="1" t="s">
        <v>56</v>
      </c>
      <c r="B22" s="1" t="s">
        <v>22</v>
      </c>
      <c r="C22" s="2" t="s">
        <v>57</v>
      </c>
      <c r="D22" s="35">
        <f>('[1]Cotton_Area'!D22*'[1]Cotton_Yield'!D22/170)/100</f>
        <v>10.0</v>
      </c>
      <c r="E22" s="35">
        <f>('[1]Cotton_Area'!E22*'[1]Cotton_Yield'!E22/170)/100</f>
        <v>23.0</v>
      </c>
      <c r="F22" s="35">
        <f>('[1]Cotton_Area'!F22*'[1]Cotton_Yield'!F22/170)/100</f>
        <v>26.0</v>
      </c>
      <c r="G22" s="35">
        <f>('[1]Cotton_Area'!G22*'[1]Cotton_Yield'!G22/170)/100</f>
        <v>87.5</v>
      </c>
      <c r="H22" s="35">
        <f>('[1]Cotton_Area'!H22*'[1]Cotton_Yield'!H22/170)/100</f>
        <v>75.53</v>
      </c>
      <c r="I22" s="35">
        <f>('[1]Cotton_Area'!I22*'[1]Cotton_Yield'!I22/170)/100</f>
        <v>24.1</v>
      </c>
      <c r="J22" s="35">
        <f>('[1]Cotton_Area'!J22*'[1]Cotton_Yield'!J22/170)/100</f>
        <v>14.500000000000002</v>
      </c>
      <c r="K22" s="35">
        <f>('[1]Cotton_Area'!K22*'[1]Cotton_Yield'!K22/170)/100</f>
        <v>43.00000000000001</v>
      </c>
      <c r="L22" s="35">
        <f>('[1]Cotton_Area'!L22*'[1]Cotton_Yield'!L22/170)/100</f>
        <v>14.999999999999998</v>
      </c>
      <c r="M22" s="35">
        <f>('[1]Cotton_Area'!M22*'[1]Cotton_Yield'!M22/170)/100</f>
        <v>5.000000000000001</v>
      </c>
      <c r="N22" s="35">
        <f>('[1]Cotton_Area'!N22*'[1]Cotton_Yield'!N22/170)/100</f>
        <v>6.0</v>
      </c>
      <c r="O22" s="36">
        <f t="shared" si="0"/>
        <v>329.63</v>
      </c>
      <c r="Q22" s="5"/>
      <c r="R22" s="6"/>
      <c r="S22" s="6"/>
      <c r="T22" s="10"/>
    </row>
    <row r="23" spans="8:8">
      <c r="A23" s="1" t="s">
        <v>58</v>
      </c>
      <c r="B23" s="1" t="s">
        <v>22</v>
      </c>
      <c r="C23" s="2" t="s">
        <v>59</v>
      </c>
      <c r="D23" s="35">
        <f>('[1]Cotton_Area'!D23*'[1]Cotton_Yield'!D23/170)/100</f>
        <v>9.5</v>
      </c>
      <c r="E23" s="35">
        <f>('[1]Cotton_Area'!E23*'[1]Cotton_Yield'!E23/170)/100</f>
        <v>24.000000000000004</v>
      </c>
      <c r="F23" s="35">
        <f>('[1]Cotton_Area'!F23*'[1]Cotton_Yield'!F23/170)/100</f>
        <v>26.0</v>
      </c>
      <c r="G23" s="35">
        <f>('[1]Cotton_Area'!G23*'[1]Cotton_Yield'!G23/170)/100</f>
        <v>89.98117154811715</v>
      </c>
      <c r="H23" s="35">
        <f>('[1]Cotton_Area'!H23*'[1]Cotton_Yield'!H23/170)/100</f>
        <v>90.64309278350514</v>
      </c>
      <c r="I23" s="35">
        <f>('[1]Cotton_Area'!I23*'[1]Cotton_Yield'!I23/170)/100</f>
        <v>19.21182266009852</v>
      </c>
      <c r="J23" s="35">
        <f>('[1]Cotton_Area'!J23*'[1]Cotton_Yield'!J23/170)/100</f>
        <v>20.629351535836182</v>
      </c>
      <c r="K23" s="35">
        <f>('[1]Cotton_Area'!K23*'[1]Cotton_Yield'!K23/170)/100</f>
        <v>65.46473594548553</v>
      </c>
      <c r="L23" s="35">
        <f>('[1]Cotton_Area'!L23*'[1]Cotton_Yield'!L23/170)/100</f>
        <v>26.314839797639124</v>
      </c>
      <c r="M23" s="35">
        <f>('[1]Cotton_Area'!M23*'[1]Cotton_Yield'!M23/170)/100</f>
        <v>6.296296296296297</v>
      </c>
      <c r="N23" s="35">
        <f>('[1]Cotton_Area'!N23*'[1]Cotton_Yield'!N23/170)/100</f>
        <v>5.210328638497706</v>
      </c>
      <c r="O23" s="36">
        <f t="shared" si="0"/>
        <v>383.2516392054756</v>
      </c>
      <c r="Q23" s="5"/>
      <c r="R23" s="6"/>
      <c r="S23" s="6"/>
      <c r="T23" s="10"/>
    </row>
    <row r="24" spans="8:8">
      <c r="A24" s="1" t="s">
        <v>60</v>
      </c>
      <c r="B24" s="1" t="s">
        <v>22</v>
      </c>
      <c r="C24" s="2" t="s">
        <v>61</v>
      </c>
      <c r="D24" s="35">
        <f>('[1]Cotton_Area'!D24*'[1]Cotton_Yield'!D24/170)/100</f>
        <v>10.421354581673306</v>
      </c>
      <c r="E24" s="35">
        <f>('[1]Cotton_Area'!E24*'[1]Cotton_Yield'!E24/170)/100</f>
        <v>22.343490304709142</v>
      </c>
      <c r="F24" s="35">
        <f>('[1]Cotton_Area'!F24*'[1]Cotton_Yield'!F24/170)/100</f>
        <v>30.5</v>
      </c>
      <c r="G24" s="35">
        <f>('[1]Cotton_Area'!G24*'[1]Cotton_Yield'!G24/170)/100</f>
        <v>90.68056164984642</v>
      </c>
      <c r="H24" s="35">
        <f>('[1]Cotton_Area'!H24*'[1]Cotton_Yield'!H24/170)/100</f>
        <v>83.77391507232852</v>
      </c>
      <c r="I24" s="35">
        <f>('[1]Cotton_Area'!I24*'[1]Cotton_Yield'!I24/170)/100</f>
        <v>17.869609507640067</v>
      </c>
      <c r="J24" s="35">
        <f>('[1]Cotton_Area'!J24*'[1]Cotton_Yield'!J24/170)/100</f>
        <v>15.5</v>
      </c>
      <c r="K24" s="35">
        <f>('[1]Cotton_Area'!K24*'[1]Cotton_Yield'!K24/170)/100</f>
        <v>47.14075887392901</v>
      </c>
      <c r="L24" s="35">
        <f>('[1]Cotton_Area'!L24*'[1]Cotton_Yield'!L24/170)/100</f>
        <v>23.58169934640523</v>
      </c>
      <c r="M24" s="35">
        <f>('[1]Cotton_Area'!M24*'[1]Cotton_Yield'!M24/170)/100</f>
        <v>3.685161290322581</v>
      </c>
      <c r="N24" s="35">
        <f>('[1]Cotton_Area'!N24*'[1]Cotton_Yield'!N24/170)/100</f>
        <v>6.503496503496567</v>
      </c>
      <c r="O24" s="36">
        <f t="shared" si="0"/>
        <v>352.0000471303509</v>
      </c>
      <c r="Q24" s="5"/>
      <c r="R24" s="6"/>
      <c r="S24" s="6"/>
      <c r="T24" s="6"/>
    </row>
    <row r="25" spans="8:8">
      <c r="A25" s="1" t="s">
        <v>62</v>
      </c>
      <c r="B25" s="1" t="s">
        <v>22</v>
      </c>
      <c r="C25" s="2" t="s">
        <v>63</v>
      </c>
      <c r="D25" s="35">
        <f>('[1]Cotton_Area'!D25*'[1]Cotton_Yield'!D25/170)/100</f>
        <v>7.4736</v>
      </c>
      <c r="E25" s="35">
        <f>('[1]Cotton_Area'!E25*'[1]Cotton_Yield'!E25/170)/100</f>
        <v>14.402493074792242</v>
      </c>
      <c r="F25" s="35">
        <f>('[1]Cotton_Area'!F25*'[1]Cotton_Yield'!F25/170)/100</f>
        <v>28.461176470588235</v>
      </c>
      <c r="G25" s="35">
        <f>('[1]Cotton_Area'!G25*'[1]Cotton_Yield'!G25/170)/100</f>
        <v>80.61176470588235</v>
      </c>
      <c r="H25" s="35">
        <f>('[1]Cotton_Area'!H25*'[1]Cotton_Yield'!H25/170)/100</f>
        <v>75.22941176470589</v>
      </c>
      <c r="I25" s="35">
        <f>('[1]Cotton_Area'!I25*'[1]Cotton_Yield'!I25/170)/100</f>
        <v>16.96470588235294</v>
      </c>
      <c r="J25" s="35">
        <f>('[1]Cotton_Area'!J25*'[1]Cotton_Yield'!J25/170)/100</f>
        <v>13.361176470588234</v>
      </c>
      <c r="K25" s="35">
        <f>('[1]Cotton_Area'!K25*'[1]Cotton_Yield'!K25/170)/100</f>
        <v>36.66882352941177</v>
      </c>
      <c r="L25" s="35">
        <f>('[1]Cotton_Area'!L25*'[1]Cotton_Yield'!L25/170)/100</f>
        <v>19.03058823529412</v>
      </c>
      <c r="M25" s="35">
        <f>('[1]Cotton_Area'!M25*'[1]Cotton_Yield'!M25/170)/100</f>
        <v>4.788235294117647</v>
      </c>
      <c r="N25" s="35">
        <f>('[1]Cotton_Area'!N25*'[1]Cotton_Yield'!N25/170)/100</f>
        <v>7.562937062937064</v>
      </c>
      <c r="O25" s="36">
        <f t="shared" si="0"/>
        <v>304.5549124906706</v>
      </c>
      <c r="Q25" s="5"/>
      <c r="R25" s="6"/>
      <c r="S25" s="6"/>
      <c r="T25" s="6"/>
    </row>
    <row r="26" spans="8:8">
      <c r="A26" s="1" t="s">
        <v>64</v>
      </c>
      <c r="B26" s="1" t="s">
        <v>22</v>
      </c>
      <c r="C26" s="2" t="s">
        <v>65</v>
      </c>
      <c r="D26" s="35">
        <f>('[1]Cotton_Area'!D26*'[1]Cotton_Yield'!D26/170)/100</f>
        <v>3.588529411764706</v>
      </c>
      <c r="E26" s="35">
        <f>('[1]Cotton_Area'!E26*'[1]Cotton_Yield'!E26/170)/100</f>
        <v>10.823529411764705</v>
      </c>
      <c r="F26" s="35">
        <f>('[1]Cotton_Area'!F26*'[1]Cotton_Yield'!F26/170)/100</f>
        <v>31.641176470588235</v>
      </c>
      <c r="G26" s="35">
        <f>('[1]Cotton_Area'!G26*'[1]Cotton_Yield'!G26/170)/100</f>
        <v>88.54729411764706</v>
      </c>
      <c r="H26" s="35">
        <f>('[1]Cotton_Area'!H26*'[1]Cotton_Yield'!H26/170)/100</f>
        <v>85.116</v>
      </c>
      <c r="I26" s="35">
        <f>('[1]Cotton_Area'!I26*'[1]Cotton_Yield'!I26/170)/100</f>
        <v>18.2</v>
      </c>
      <c r="J26" s="35">
        <f>('[1]Cotton_Area'!J26*'[1]Cotton_Yield'!J26/170)/100</f>
        <v>16.150588235294116</v>
      </c>
      <c r="K26" s="35">
        <f>('[1]Cotton_Area'!K26*'[1]Cotton_Yield'!K26/170)/100</f>
        <v>42.94176470588235</v>
      </c>
      <c r="L26" s="35">
        <f>('[1]Cotton_Area'!L26*'[1]Cotton_Yield'!L26/170)/100</f>
        <v>24.562352941176467</v>
      </c>
      <c r="M26" s="35">
        <f>('[1]Cotton_Area'!M26*'[1]Cotton_Yield'!M26/170)/100</f>
        <v>6.4620588235294125</v>
      </c>
      <c r="N26" s="35">
        <f>('[1]Cotton_Area'!N26*'[1]Cotton_Yield'!N26/170)/100</f>
        <v>7.376470588235353</v>
      </c>
      <c r="O26" s="36">
        <f t="shared" si="0"/>
        <v>335.4097647058823</v>
      </c>
      <c r="Q26" s="5"/>
      <c r="R26" s="6"/>
      <c r="S26" s="6"/>
      <c r="T26" s="6"/>
    </row>
    <row r="27" spans="8:8">
      <c r="A27" s="2" t="s">
        <v>66</v>
      </c>
      <c r="B27" s="2" t="s">
        <v>67</v>
      </c>
      <c r="C27" s="2" t="s">
        <v>68</v>
      </c>
      <c r="D27" s="35">
        <f>('[1]Cotton_Area'!D27*'[1]Cotton_Yield'!D27/170)/100</f>
        <v>5.853529411764706</v>
      </c>
      <c r="E27" s="35">
        <f>('[1]Cotton_Area'!E27*'[1]Cotton_Yield'!E27/170)/100</f>
        <v>13.6</v>
      </c>
      <c r="F27" s="35">
        <f>('[1]Cotton_Area'!F27*'[1]Cotton_Yield'!F27/170)/100</f>
        <v>27.185294117647057</v>
      </c>
      <c r="G27" s="35">
        <f>('[1]Cotton_Area'!G27*'[1]Cotton_Yield'!G27/170)/100</f>
        <v>86.17164705882352</v>
      </c>
      <c r="H27" s="35">
        <f>('[1]Cotton_Area'!H27*'[1]Cotton_Yield'!H27/170)/100</f>
        <v>93.3970588235294</v>
      </c>
      <c r="I27" s="35">
        <f>('[1]Cotton_Area'!I27*'[1]Cotton_Yield'!I27/170)/100</f>
        <v>20.073529411764707</v>
      </c>
      <c r="J27" s="35">
        <f>('[1]Cotton_Area'!J27*'[1]Cotton_Yield'!J27/170)/100</f>
        <v>9.929411764705883</v>
      </c>
      <c r="K27" s="35">
        <f>('[1]Cotton_Area'!K27*'[1]Cotton_Yield'!K27/170)/100</f>
        <v>33.686470588235295</v>
      </c>
      <c r="L27" s="35">
        <f>('[1]Cotton_Area'!L27*'[1]Cotton_Yield'!L27/170)/100</f>
        <v>18.61870588235294</v>
      </c>
      <c r="M27" s="35">
        <f>('[1]Cotton_Area'!M27*'[1]Cotton_Yield'!M27/170)/100</f>
        <v>4.764117647058824</v>
      </c>
      <c r="N27" s="35">
        <f>('[1]Cotton_Area'!N27*'[1]Cotton_Yield'!N27/170)/100</f>
        <v>6.8235294117647065</v>
      </c>
      <c r="O27" s="36">
        <f t="shared" si="0"/>
        <v>320.10329411764707</v>
      </c>
      <c r="Q27" s="5"/>
      <c r="R27" s="6"/>
      <c r="S27" s="6"/>
      <c r="T27" s="6"/>
    </row>
    <row r="28" spans="8:8">
      <c r="A28" s="7" t="s">
        <v>69</v>
      </c>
      <c r="B28" s="7" t="s">
        <v>67</v>
      </c>
      <c r="C28" s="7" t="s">
        <v>70</v>
      </c>
      <c r="D28" s="38">
        <f>('[1]Cotton_Area'!D28*'[1]Cotton_Yield'!D28/170)/100</f>
        <v>1.5294117647058822</v>
      </c>
      <c r="E28" s="39">
        <f>('[1]Cotton_Area'!E28*'[1]Cotton_Yield'!E28/170)/100</f>
        <v>7.56</v>
      </c>
      <c r="F28" s="39">
        <f>('[1]Cotton_Area'!F28*'[1]Cotton_Yield'!F28/170)/100</f>
        <v>19.168343193452476</v>
      </c>
      <c r="G28" s="39">
        <f>('[1]Cotton_Area'!G28*'[1]Cotton_Yield'!G28/170)/100</f>
        <v>76.56117647058824</v>
      </c>
      <c r="H28" s="39">
        <f>('[1]Cotton_Area'!H28*'[1]Cotton_Yield'!H28/170)/100</f>
        <v>92.49058823529413</v>
      </c>
      <c r="I28" s="39">
        <f>('[1]Cotton_Area'!I28*'[1]Cotton_Yield'!I28/170)/100</f>
        <v>19.147058823529413</v>
      </c>
      <c r="J28" s="39">
        <f>('[1]Cotton_Area'!J28*'[1]Cotton_Yield'!J28/170)/100</f>
        <v>11.557399007316912</v>
      </c>
      <c r="K28" s="39">
        <f>('[1]Cotton_Area'!K28*'[1]Cotton_Yield'!K28/170)/100</f>
        <v>49.749235294117646</v>
      </c>
      <c r="L28" s="39">
        <f>('[1]Cotton_Area'!L28*'[1]Cotton_Yield'!L28/170)/100</f>
        <v>23.148823529411764</v>
      </c>
      <c r="M28" s="39">
        <f>('[1]Cotton_Area'!M28*'[1]Cotton_Yield'!M28/170)/100</f>
        <v>2.0094117647058827</v>
      </c>
      <c r="N28" s="39">
        <f>('[1]Cotton_Area'!N28*'[1]Cotton_Yield'!N28/170)/100</f>
        <v>5.745882352941177</v>
      </c>
      <c r="O28" s="39">
        <f t="shared" si="0"/>
        <v>308.6673304360635</v>
      </c>
      <c r="Q28" s="5"/>
    </row>
    <row r="29" spans="8:8">
      <c r="A29" s="1" t="s">
        <v>71</v>
      </c>
      <c r="D29" s="9">
        <f>D28/D27-1</f>
        <v>-0.738719726660637</v>
      </c>
      <c r="E29" s="9">
        <f t="shared" si="1" ref="E29:O29">E28/E27-1</f>
        <v>-0.44411764705882295</v>
      </c>
      <c r="F29" s="9">
        <f t="shared" si="1"/>
        <v>-0.29490028283308</v>
      </c>
      <c r="G29" s="9">
        <f t="shared" si="1"/>
        <v>-0.11152706158296899</v>
      </c>
      <c r="H29" s="9">
        <f t="shared" si="1"/>
        <v>-0.009705558179814</v>
      </c>
      <c r="I29" s="9">
        <f t="shared" si="1"/>
        <v>-0.04615384615384599</v>
      </c>
      <c r="J29" s="9">
        <f t="shared" si="1"/>
        <v>0.1639560611634301</v>
      </c>
      <c r="K29" s="9">
        <f t="shared" si="1"/>
        <v>0.47683133392704</v>
      </c>
      <c r="L29" s="9">
        <f t="shared" si="1"/>
        <v>0.24331001712383005</v>
      </c>
      <c r="M29" s="9">
        <f t="shared" si="1"/>
        <v>-0.578219533275713</v>
      </c>
      <c r="N29" s="9">
        <f t="shared" si="1"/>
        <v>-0.15793103448275903</v>
      </c>
      <c r="O29" s="9">
        <f t="shared" si="1"/>
        <v>-0.035725854409296987</v>
      </c>
      <c r="P29" s="27"/>
    </row>
    <row r="30" spans="8:8" s="40" ht="15.0" customFormat="1" customHeight="1">
      <c r="A30" s="40" t="s">
        <v>84</v>
      </c>
      <c r="B30" s="40" t="s">
        <v>85</v>
      </c>
      <c r="C30" s="41" t="s">
        <v>86</v>
      </c>
      <c r="D30" s="42">
        <f>('[1]Cotton_Area'!D30*'[1]Cotton_Yield'!D30/170)/100</f>
        <v>1.5911999999999997</v>
      </c>
      <c r="E30" s="42">
        <f>('[1]Cotton_Area'!E30*'[1]Cotton_Yield'!E30/170)/100</f>
        <v>7.865423999999999</v>
      </c>
      <c r="F30" s="42">
        <f>('[1]Cotton_Area'!F30*'[1]Cotton_Yield'!F30/170)/100</f>
        <v>19.94274425846795</v>
      </c>
      <c r="G30" s="42">
        <f>('[1]Cotton_Area'!G30*'[1]Cotton_Yield'!G30/170)/100</f>
        <v>79.654248</v>
      </c>
      <c r="H30" s="42">
        <f>('[1]Cotton_Area'!H30*'[1]Cotton_Yield'!H30/170)/100</f>
        <v>96.227208</v>
      </c>
      <c r="I30" s="42">
        <f>('[1]Cotton_Area'!I30*'[1]Cotton_Yield'!I30/170)/100</f>
        <v>19.9206</v>
      </c>
      <c r="J30" s="42">
        <f>('[1]Cotton_Area'!J30*'[1]Cotton_Yield'!J30/170)/100</f>
        <v>12.024317927212516</v>
      </c>
      <c r="K30" s="42">
        <f>('[1]Cotton_Area'!K30*'[1]Cotton_Yield'!K30/170)/100</f>
        <v>51.7591044</v>
      </c>
      <c r="L30" s="42">
        <f>('[1]Cotton_Area'!L30*'[1]Cotton_Yield'!L30/170)/100</f>
        <v>24.084035999999998</v>
      </c>
      <c r="M30" s="42">
        <f>('[1]Cotton_Area'!M30*'[1]Cotton_Yield'!M30/170)/100</f>
        <v>2.090592000000001</v>
      </c>
      <c r="N30" s="42">
        <f>('[1]Cotton_Area'!N30*'[1]Cotton_Yield'!N30/170)/100</f>
        <v>5.978016000000001</v>
      </c>
      <c r="O30" s="43">
        <f t="shared" si="2" ref="O30:O33">SUM(D30:N30)</f>
        <v>321.13749058568044</v>
      </c>
      <c r="Q30" s="44"/>
    </row>
    <row r="31" spans="8:8" s="40" ht="15.0" customFormat="1" customHeight="1">
      <c r="A31" s="40" t="s">
        <v>87</v>
      </c>
      <c r="B31" s="40" t="s">
        <v>88</v>
      </c>
      <c r="C31" s="41" t="s">
        <v>86</v>
      </c>
      <c r="D31" s="42">
        <f>('[1]Cotton_Area'!D31*'[1]Cotton_Yield'!D31/170)/100</f>
        <v>1.4688470588235294</v>
      </c>
      <c r="E31" s="42">
        <f>('[1]Cotton_Area'!E31*'[1]Cotton_Yield'!E31/170)/100</f>
        <v>7.260624000000002</v>
      </c>
      <c r="F31" s="42">
        <f>('[1]Cotton_Area'!F31*'[1]Cotton_Yield'!F31/170)/100</f>
        <v>18.409276802991755</v>
      </c>
      <c r="G31" s="42">
        <f>('[1]Cotton_Area'!G31*'[1]Cotton_Yield'!G31/170)/100</f>
        <v>73.52935388235295</v>
      </c>
      <c r="H31" s="42">
        <f>('[1]Cotton_Area'!H31*'[1]Cotton_Yield'!H31/170)/100</f>
        <v>88.82796094117649</v>
      </c>
      <c r="I31" s="42">
        <f>('[1]Cotton_Area'!I31*'[1]Cotton_Yield'!I31/170)/100</f>
        <v>18.388835294117648</v>
      </c>
      <c r="J31" s="42">
        <f>('[1]Cotton_Area'!J31*'[1]Cotton_Yield'!J31/170)/100</f>
        <v>11.099726006627163</v>
      </c>
      <c r="K31" s="42">
        <f>('[1]Cotton_Area'!K31*'[1]Cotton_Yield'!K31/170)/100</f>
        <v>47.77916557647059</v>
      </c>
      <c r="L31" s="42">
        <f>('[1]Cotton_Area'!L31*'[1]Cotton_Yield'!L31/170)/100</f>
        <v>22.232130117647056</v>
      </c>
      <c r="M31" s="42">
        <f>('[1]Cotton_Area'!M31*'[1]Cotton_Yield'!M31/170)/100</f>
        <v>1.9298390588235292</v>
      </c>
      <c r="N31" s="42">
        <f>('[1]Cotton_Area'!N31*'[1]Cotton_Yield'!N31/170)/100</f>
        <v>5.518345411764706</v>
      </c>
      <c r="O31" s="43">
        <f t="shared" si="2"/>
        <v>296.4441041507954</v>
      </c>
      <c r="Q31" s="44"/>
    </row>
    <row r="32" spans="8:8" s="40" ht="15.0" customFormat="1" customHeight="1">
      <c r="A32" s="40" t="s">
        <v>89</v>
      </c>
      <c r="B32" s="40" t="s">
        <v>74</v>
      </c>
      <c r="C32" s="41" t="s">
        <v>86</v>
      </c>
      <c r="D32" s="45">
        <f>D28-D33</f>
        <v>0.0</v>
      </c>
      <c r="E32" s="45">
        <f t="shared" si="3" ref="E32:N32">E28-E33</f>
        <v>0.0</v>
      </c>
      <c r="F32" s="45">
        <f t="shared" si="3"/>
        <v>0.0</v>
      </c>
      <c r="G32" s="45">
        <f t="shared" si="3"/>
        <v>0.0</v>
      </c>
      <c r="H32" s="45">
        <f t="shared" si="3"/>
        <v>-22.219503667819907</v>
      </c>
      <c r="I32" s="45">
        <f t="shared" si="3"/>
        <v>0.0</v>
      </c>
      <c r="J32" s="45">
        <f t="shared" si="3"/>
        <v>0.0</v>
      </c>
      <c r="K32" s="45">
        <f t="shared" si="3"/>
        <v>0.0</v>
      </c>
      <c r="L32" s="45">
        <f t="shared" si="3"/>
        <v>0.0</v>
      </c>
      <c r="M32" s="45">
        <f t="shared" si="3"/>
        <v>0.0</v>
      </c>
      <c r="N32" s="45">
        <f t="shared" si="3"/>
        <v>0.0</v>
      </c>
      <c r="O32" s="45">
        <f>SUM(D32:N32)</f>
        <v>-22.219503667819907</v>
      </c>
      <c r="Q32" s="44"/>
    </row>
    <row r="33" spans="8:8" s="40" ht="15.0" customFormat="1" customHeight="1">
      <c r="A33" s="40" t="str">
        <f>_xlfn.CONCAT(B33,C33)</f>
        <v>After Risk/Potential2024/25 </v>
      </c>
      <c r="B33" s="40" t="s">
        <v>75</v>
      </c>
      <c r="C33" s="46" t="s">
        <v>70</v>
      </c>
      <c r="D33" s="47">
        <f>('[1]Cotton_Area'!D33*'[1]Cotton_Yield'!D33/170)/100</f>
        <v>1.5294117647058822</v>
      </c>
      <c r="E33" s="47">
        <f>('[1]Cotton_Area'!E33*'[1]Cotton_Yield'!E33/170)/100</f>
        <v>7.56</v>
      </c>
      <c r="F33" s="47">
        <f>('[1]Cotton_Area'!F33*'[1]Cotton_Yield'!F33/170)/100</f>
        <v>19.168343193452476</v>
      </c>
      <c r="G33" s="47">
        <f>('[1]Cotton_Area'!G33*'[1]Cotton_Yield'!G33/170)/100</f>
        <v>76.56117647058824</v>
      </c>
      <c r="H33" s="47">
        <f>('[1]Cotton_Area'!H33*'[1]Cotton_Yield'!H33/170)/100</f>
        <v>114.71009190311419</v>
      </c>
      <c r="I33" s="47">
        <f>('[1]Cotton_Area'!I33*'[1]Cotton_Yield'!I33/170)/100</f>
        <v>19.147058823529413</v>
      </c>
      <c r="J33" s="47">
        <f>('[1]Cotton_Area'!J33*'[1]Cotton_Yield'!J33/170)/100</f>
        <v>11.557399007316912</v>
      </c>
      <c r="K33" s="47">
        <f>('[1]Cotton_Area'!K33*'[1]Cotton_Yield'!K33/170)/100</f>
        <v>49.749235294117646</v>
      </c>
      <c r="L33" s="47">
        <f>('[1]Cotton_Area'!L33*'[1]Cotton_Yield'!L33/170)/100</f>
        <v>23.148823529411764</v>
      </c>
      <c r="M33" s="47">
        <f>('[1]Cotton_Area'!M33*'[1]Cotton_Yield'!M33/170)/100</f>
        <v>2.0094117647058827</v>
      </c>
      <c r="N33" s="47">
        <f>('[1]Cotton_Area'!N33*'[1]Cotton_Yield'!N33/170)/100</f>
        <v>5.745882352941177</v>
      </c>
      <c r="O33" s="37">
        <f t="shared" si="2"/>
        <v>330.8868341038836</v>
      </c>
      <c r="Q33" s="44"/>
    </row>
    <row r="34" spans="8:8" s="40" ht="15.0" customFormat="1" customHeight="1">
      <c r="A34" s="40" t="s">
        <v>90</v>
      </c>
      <c r="B34" s="40" t="s">
        <v>91</v>
      </c>
      <c r="C34" s="48" t="s">
        <v>86</v>
      </c>
      <c r="D34" s="49" t="s">
        <v>92</v>
      </c>
      <c r="E34" s="49" t="s">
        <v>92</v>
      </c>
      <c r="F34" s="49" t="s">
        <v>92</v>
      </c>
      <c r="G34" s="49" t="s">
        <v>93</v>
      </c>
      <c r="H34" s="49" t="s">
        <v>93</v>
      </c>
      <c r="I34" s="49" t="s">
        <v>93</v>
      </c>
      <c r="J34" s="49" t="s">
        <v>93</v>
      </c>
      <c r="K34" s="49" t="s">
        <v>93</v>
      </c>
      <c r="L34" s="49" t="s">
        <v>93</v>
      </c>
      <c r="M34" s="49" t="s">
        <v>93</v>
      </c>
      <c r="N34" s="49" t="s">
        <v>93</v>
      </c>
      <c r="O34" s="49" t="s">
        <v>93</v>
      </c>
      <c r="Q34" s="44"/>
    </row>
    <row r="35" spans="8:8">
      <c r="A35" s="1" t="s">
        <v>94</v>
      </c>
      <c r="B35" s="1" t="s">
        <v>95</v>
      </c>
      <c r="C35" s="32" t="s">
        <v>86</v>
      </c>
      <c r="D35" s="9"/>
      <c r="E35" s="9">
        <v>0.06</v>
      </c>
      <c r="F35" s="9"/>
      <c r="G35" s="9"/>
      <c r="H35" s="17"/>
      <c r="I35" s="9"/>
      <c r="J35" s="9"/>
      <c r="K35" s="9"/>
      <c r="L35" s="50"/>
      <c r="M35" s="9"/>
      <c r="N35" s="9"/>
      <c r="O35" s="9"/>
    </row>
    <row r="36" spans="8:8" s="2" ht="13.8" customFormat="1">
      <c r="A36" s="15" t="s">
        <v>76</v>
      </c>
      <c r="B36" s="15" t="s">
        <v>67</v>
      </c>
      <c r="C36" s="16" t="s">
        <v>77</v>
      </c>
      <c r="D36" s="38">
        <f>('[1]Cotton_Area'!D36*'[1]Cotton_Yield'!D36/170)/100</f>
        <v>2.5029411764705882</v>
      </c>
      <c r="E36" s="39">
        <f>('[1]Cotton_Area'!E36*'[1]Cotton_Yield'!E36/170)/100</f>
        <v>6.27</v>
      </c>
      <c r="F36" s="39">
        <f>('[1]Cotton_Area'!F36*'[1]Cotton_Yield'!F36/170)/100</f>
        <v>24.04705882352941</v>
      </c>
      <c r="G36" s="39">
        <f>('[1]Cotton_Area'!G36*'[1]Cotton_Yield'!G36/170)/100</f>
        <v>70.00147058823529</v>
      </c>
      <c r="H36" s="39">
        <f>('[1]Cotton_Area'!H36*'[1]Cotton_Yield'!H36/170)/100</f>
        <v>78.75</v>
      </c>
      <c r="I36" s="39">
        <f>('[1]Cotton_Area'!I36*'[1]Cotton_Yield'!I36/170)/100</f>
        <v>18.070588235294117</v>
      </c>
      <c r="J36" s="39">
        <f>('[1]Cotton_Area'!J36*'[1]Cotton_Yield'!J36/170)/100</f>
        <v>12.203529411764706</v>
      </c>
      <c r="K36" s="39">
        <f>('[1]Cotton_Area'!K36*'[1]Cotton_Yield'!K36/170)/100</f>
        <v>45.624705882352934</v>
      </c>
      <c r="L36" s="39">
        <f>('[1]Cotton_Area'!L36*'[1]Cotton_Yield'!L36/170)/100</f>
        <v>23.941176470588236</v>
      </c>
      <c r="M36" s="39">
        <f>('[1]Cotton_Area'!M36*'[1]Cotton_Yield'!M36/170)/100</f>
        <v>2.0400134800759018</v>
      </c>
      <c r="N36" s="39">
        <f>('[1]Cotton_Area'!N36*'[1]Cotton_Yield'!N36/170)/100</f>
        <v>5.292505141916908</v>
      </c>
      <c r="O36" s="39">
        <f>SUM(D36:N36)</f>
        <v>288.7439892102281</v>
      </c>
      <c r="P36" s="27"/>
      <c r="Q36" s="30"/>
    </row>
    <row r="37" spans="8:8" s="2" ht="13.8" customFormat="1">
      <c r="A37" s="15" t="s">
        <v>78</v>
      </c>
      <c r="B37" s="15" t="s">
        <v>67</v>
      </c>
      <c r="C37" s="16" t="s">
        <v>79</v>
      </c>
      <c r="D37" s="38">
        <f>('[1]Cotton_Area'!D37*'[1]Cotton_Yield'!D37/170)/100</f>
        <v>2.3703529411764706</v>
      </c>
      <c r="E37" s="39">
        <f>('[1]Cotton_Area'!E37*'[1]Cotton_Yield'!E37/170)/100</f>
        <v>7.202303921568627</v>
      </c>
      <c r="F37" s="39">
        <f>('[1]Cotton_Area'!F37*'[1]Cotton_Yield'!F37/170)/100</f>
        <v>22.386167366581862</v>
      </c>
      <c r="G37" s="39">
        <f>('[1]Cotton_Area'!G37*'[1]Cotton_Yield'!G37/170)/100</f>
        <v>65.10629999999999</v>
      </c>
      <c r="H37" s="39">
        <f>('[1]Cotton_Area'!H37*'[1]Cotton_Yield'!H37/170)/100</f>
        <v>82.4175</v>
      </c>
      <c r="I37" s="39">
        <f>('[1]Cotton_Area'!I37*'[1]Cotton_Yield'!I37/170)/100</f>
        <v>19.968</v>
      </c>
      <c r="J37" s="39">
        <f>('[1]Cotton_Area'!J37*'[1]Cotton_Yield'!J37/170)/100</f>
        <v>12.709856990380827</v>
      </c>
      <c r="K37" s="39">
        <f>('[1]Cotton_Area'!K37*'[1]Cotton_Yield'!K37/170)/100</f>
        <v>45.47736470588236</v>
      </c>
      <c r="L37" s="39">
        <f>('[1]Cotton_Area'!L37*'[1]Cotton_Yield'!L37/170)/100</f>
        <v>23.63124705882353</v>
      </c>
      <c r="M37" s="39">
        <f>('[1]Cotton_Area'!M37*'[1]Cotton_Yield'!M37/170)/100</f>
        <v>2.1506834046299814</v>
      </c>
      <c r="N37" s="39">
        <f>('[1]Cotton_Area'!N37*'[1]Cotton_Yield'!N37/170)/100</f>
        <v>5.2769311942959005</v>
      </c>
      <c r="O37" s="39">
        <f>SUM(D37:N37)</f>
        <v>288.69670758333956</v>
      </c>
      <c r="P37" s="27"/>
      <c r="Q37" s="30"/>
    </row>
    <row r="38" spans="8:8">
      <c r="A38" s="1" t="s">
        <v>71</v>
      </c>
      <c r="D38" s="9">
        <f>D37/D36-1</f>
        <v>-0.05297297297297299</v>
      </c>
      <c r="E38" s="9">
        <f t="shared" si="4" ref="E38:O38">E37/E36-1</f>
        <v>0.14869281045752003</v>
      </c>
      <c r="F38" s="9">
        <f t="shared" si="4"/>
        <v>-0.06906838250515701</v>
      </c>
      <c r="G38" s="9">
        <f t="shared" si="4"/>
        <v>-0.06992953929539303</v>
      </c>
      <c r="H38" s="9">
        <f t="shared" si="4"/>
        <v>0.04657142857143004</v>
      </c>
      <c r="I38" s="9">
        <f t="shared" si="4"/>
        <v>0.10499999999999998</v>
      </c>
      <c r="J38" s="9">
        <f t="shared" si="4"/>
        <v>0.041490257574829936</v>
      </c>
      <c r="K38" s="9">
        <f t="shared" si="4"/>
        <v>-0.0032294164668259517</v>
      </c>
      <c r="L38" s="9">
        <f t="shared" si="4"/>
        <v>-0.012945454545455037</v>
      </c>
      <c r="M38" s="9">
        <f t="shared" si="4"/>
        <v>0.05424960454180994</v>
      </c>
      <c r="N38" s="9">
        <f t="shared" si="4"/>
        <v>-0.002942641944296054</v>
      </c>
      <c r="O38" s="9">
        <f t="shared" si="4"/>
        <v>-1.6374930268803212E-4</v>
      </c>
      <c r="P38" s="27"/>
    </row>
    <row r="39" spans="8:8" s="40" ht="15.0" customFormat="1" customHeight="1">
      <c r="A39" s="40" t="s">
        <v>96</v>
      </c>
      <c r="B39" s="40" t="s">
        <v>91</v>
      </c>
      <c r="C39" s="48" t="s">
        <v>86</v>
      </c>
      <c r="D39" s="49" t="s">
        <v>97</v>
      </c>
      <c r="E39" s="49" t="s">
        <v>97</v>
      </c>
      <c r="F39" s="49" t="s">
        <v>97</v>
      </c>
      <c r="G39" s="51" t="s">
        <v>98</v>
      </c>
      <c r="H39" s="51" t="s">
        <v>99</v>
      </c>
      <c r="I39" s="51" t="s">
        <v>98</v>
      </c>
      <c r="J39" s="51" t="s">
        <v>98</v>
      </c>
      <c r="K39" s="51" t="s">
        <v>98</v>
      </c>
      <c r="L39" s="51" t="s">
        <v>98</v>
      </c>
      <c r="M39" s="51" t="s">
        <v>98</v>
      </c>
      <c r="N39" s="51" t="s">
        <v>98</v>
      </c>
      <c r="O39" s="51" t="s">
        <v>98</v>
      </c>
      <c r="Q39" s="44"/>
    </row>
    <row r="40" spans="8:8">
      <c r="D40" s="2">
        <v>2.5</v>
      </c>
      <c r="E40" s="36">
        <v>6.0</v>
      </c>
      <c r="F40" s="2">
        <v>24.0</v>
      </c>
      <c r="G40" s="2">
        <v>75.0</v>
      </c>
      <c r="H40" s="2">
        <v>90.0</v>
      </c>
    </row>
    <row r="41" spans="8:8">
      <c r="E41" s="36"/>
    </row>
    <row r="42" spans="8:8">
      <c r="D42" s="36"/>
      <c r="E42" s="36"/>
    </row>
    <row r="43" spans="8:8">
      <c r="E43" s="36"/>
    </row>
  </sheetData>
  <conditionalFormatting sqref="D39:F39">
    <cfRule type="cellIs" operator="notEqual" priority="1" dxfId="0">
      <formula>0</formula>
    </cfRule>
  </conditionalFormatting>
  <conditionalFormatting sqref="D32:O32">
    <cfRule type="cellIs" operator="notEqual" priority="6" dxfId="1">
      <formula>0</formula>
    </cfRule>
    <cfRule type="iconSet" priority="5">
      <iconSet iconSet="3Arrows">
        <cfvo type="percent" val="0"/>
        <cfvo type="formula" val="0"/>
        <cfvo type="formula" val="0.01"/>
      </iconSet>
    </cfRule>
  </conditionalFormatting>
  <conditionalFormatting sqref="D34:O34">
    <cfRule type="cellIs" operator="notEqual" priority="4" dxfId="2">
      <formula>0</formula>
    </cfRule>
  </conditionalFormatting>
  <conditionalFormatting sqref="D38:O38">
    <cfRule type="colorScale" priority="2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D29:O29">
    <cfRule type="colorScale" priority="3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Aditya Mangale</dc:creator>
  <cp:lastModifiedBy>Aditya Mangale</cp:lastModifiedBy>
  <dcterms:created xsi:type="dcterms:W3CDTF">2026-07-05T05:24:38Z</dcterms:created>
  <dcterms:modified xsi:type="dcterms:W3CDTF">2026-07-05T11:08:35Z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eadfadb6231240f5a05ada2c866a9df6</vt:lpwstr>
  </property>
</Properties>
</file>