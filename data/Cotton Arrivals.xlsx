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be127ec345b462f/Desktop/Agrolytix A/Cotton/"/>
    </mc:Choice>
  </mc:AlternateContent>
  <xr:revisionPtr revIDLastSave="0" documentId="8_{A68423D3-4215-4A8D-AC62-074EAEFA763E}" xr6:coauthVersionLast="47" xr6:coauthVersionMax="47" xr10:uidLastSave="{00000000-0000-0000-0000-000000000000}"/>
  <bookViews>
    <workbookView xWindow="-108" yWindow="-108" windowWidth="23256" windowHeight="12576" xr2:uid="{767051CB-6108-4506-AD7D-90F4ECBC4D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3" i="1" l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C24" i="1"/>
  <c r="C15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</calcChain>
</file>

<file path=xl/sharedStrings.xml><?xml version="1.0" encoding="utf-8"?>
<sst xmlns="http://schemas.openxmlformats.org/spreadsheetml/2006/main" count="8" uniqueCount="8">
  <si>
    <t>Arrivals (In lakh basles)</t>
  </si>
  <si>
    <t>2019-20</t>
  </si>
  <si>
    <t>2020-21</t>
  </si>
  <si>
    <t>2021-22</t>
  </si>
  <si>
    <t>2022-23</t>
  </si>
  <si>
    <t>2023-24</t>
  </si>
  <si>
    <t>2024-25</t>
  </si>
  <si>
    <t>2025-26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</si>
</sst>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0" fillId="0" borderId="1" xfId="1" applyNumberFormat="1" applyFont="1" applyFill="1" applyBorder="1" applyAlignment="1">
      <alignment horizontal="center" vertical="center"/>
    </xf>
    <xf numFmtId="1" fontId="0" fillId="0" borderId="1" xfId="1" applyNumberFormat="1" applyFont="1" applyFill="1" applyBorder="1" applyAlignment="1">
      <alignment horizontal="center" vertical="center"/>
    </xf>
    <xf numFmtId="16" fontId="0" fillId="2" borderId="1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" fontId="0" fillId="2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 vertical="center"/>
    </xf>
    <xf numFmtId="1" fontId="0" fillId="2" borderId="2" xfId="1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F4B06-3C01-4C36-A83B-D0A91CC4CD07}">
  <dimension ref="A1:H53"/>
  <sheetViews>
    <sheetView tabSelected="1" workbookViewId="0">
      <selection activeCell="K35" sqref="K35"/>
    </sheetView>
  </sheetViews>
  <sheetFormatPr defaultRowHeight="14.4" x14ac:dyDescent="0.3"/>
  <sheetData>
    <row r="1" spans="1:8" ht="43.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3">
        <v>44475</v>
      </c>
      <c r="B2" s="4">
        <v>2.4700000000000002</v>
      </c>
      <c r="C2" s="4">
        <v>1.77</v>
      </c>
      <c r="D2" s="4">
        <v>1.68</v>
      </c>
      <c r="E2" s="4">
        <v>1</v>
      </c>
      <c r="F2" s="4">
        <v>1.5</v>
      </c>
      <c r="G2" s="5">
        <v>1.26</v>
      </c>
      <c r="H2" s="5">
        <v>1.5</v>
      </c>
    </row>
    <row r="3" spans="1:8" x14ac:dyDescent="0.3">
      <c r="A3" s="9">
        <f>A2+7</f>
        <v>44482</v>
      </c>
      <c r="B3" s="10">
        <v>6.15</v>
      </c>
      <c r="C3" s="10">
        <v>5.74</v>
      </c>
      <c r="D3" s="10">
        <v>5.57</v>
      </c>
      <c r="E3" s="10">
        <v>3</v>
      </c>
      <c r="F3" s="10">
        <v>4.5</v>
      </c>
      <c r="G3" s="11">
        <v>4.51</v>
      </c>
      <c r="H3" s="5">
        <v>5</v>
      </c>
    </row>
    <row r="4" spans="1:8" x14ac:dyDescent="0.3">
      <c r="A4" s="9">
        <f t="shared" ref="A4:A53" si="0">A3+7</f>
        <v>44489</v>
      </c>
      <c r="B4" s="10">
        <v>11.06</v>
      </c>
      <c r="C4" s="10">
        <v>12.34</v>
      </c>
      <c r="D4" s="10">
        <v>10.33</v>
      </c>
      <c r="E4" s="10">
        <v>5</v>
      </c>
      <c r="F4" s="10">
        <v>9.5</v>
      </c>
      <c r="G4" s="11">
        <v>8.4600000000000009</v>
      </c>
      <c r="H4" s="5">
        <v>6</v>
      </c>
    </row>
    <row r="5" spans="1:8" x14ac:dyDescent="0.3">
      <c r="A5" s="9">
        <f t="shared" si="0"/>
        <v>44496</v>
      </c>
      <c r="B5" s="10">
        <v>14.23</v>
      </c>
      <c r="C5" s="10">
        <v>19.32</v>
      </c>
      <c r="D5" s="10">
        <v>17.77</v>
      </c>
      <c r="E5" s="10">
        <v>7</v>
      </c>
      <c r="F5" s="10">
        <v>15.5</v>
      </c>
      <c r="G5" s="11">
        <v>14.14</v>
      </c>
      <c r="H5" s="5">
        <v>12.5</v>
      </c>
    </row>
    <row r="6" spans="1:8" x14ac:dyDescent="0.3">
      <c r="A6" s="12">
        <f t="shared" si="0"/>
        <v>44503</v>
      </c>
      <c r="B6" s="10">
        <v>18.920000000000002</v>
      </c>
      <c r="C6" s="10">
        <v>28.06</v>
      </c>
      <c r="D6" s="10">
        <v>28.17</v>
      </c>
      <c r="E6" s="10">
        <v>11.14</v>
      </c>
      <c r="F6" s="10">
        <v>23.07</v>
      </c>
      <c r="G6" s="11">
        <v>19</v>
      </c>
      <c r="H6" s="5">
        <v>16</v>
      </c>
    </row>
    <row r="7" spans="1:8" x14ac:dyDescent="0.3">
      <c r="A7" s="9">
        <f>A6+7</f>
        <v>44510</v>
      </c>
      <c r="B7" s="10">
        <v>25.41</v>
      </c>
      <c r="C7" s="10">
        <v>40.07</v>
      </c>
      <c r="D7" s="10">
        <v>32.25</v>
      </c>
      <c r="E7" s="10">
        <v>17.7</v>
      </c>
      <c r="F7" s="10">
        <v>31</v>
      </c>
      <c r="G7" s="11">
        <v>26</v>
      </c>
      <c r="H7" s="5">
        <v>22</v>
      </c>
    </row>
    <row r="8" spans="1:8" x14ac:dyDescent="0.3">
      <c r="A8" s="9">
        <f t="shared" si="0"/>
        <v>44517</v>
      </c>
      <c r="B8" s="10">
        <v>32.74</v>
      </c>
      <c r="C8" s="10">
        <v>47.6</v>
      </c>
      <c r="D8" s="10">
        <v>42.6</v>
      </c>
      <c r="E8" s="10">
        <v>30.6</v>
      </c>
      <c r="F8" s="10">
        <v>39</v>
      </c>
      <c r="G8" s="11">
        <v>34</v>
      </c>
      <c r="H8" s="5">
        <v>31</v>
      </c>
    </row>
    <row r="9" spans="1:8" x14ac:dyDescent="0.3">
      <c r="A9" s="9">
        <f t="shared" si="0"/>
        <v>44524</v>
      </c>
      <c r="B9" s="10">
        <v>42.26</v>
      </c>
      <c r="C9" s="10">
        <v>61.95</v>
      </c>
      <c r="D9" s="10">
        <v>64</v>
      </c>
      <c r="E9" s="10">
        <v>38.15</v>
      </c>
      <c r="F9" s="10">
        <v>47</v>
      </c>
      <c r="G9" s="11">
        <v>44.61</v>
      </c>
      <c r="H9" s="5">
        <v>40</v>
      </c>
    </row>
    <row r="10" spans="1:8" x14ac:dyDescent="0.3">
      <c r="A10" s="9">
        <f t="shared" si="0"/>
        <v>44531</v>
      </c>
      <c r="B10" s="10">
        <v>52.28</v>
      </c>
      <c r="C10" s="10">
        <v>77.42</v>
      </c>
      <c r="D10" s="10">
        <v>67</v>
      </c>
      <c r="E10" s="10">
        <v>42.22</v>
      </c>
      <c r="F10" s="10">
        <v>55</v>
      </c>
      <c r="G10" s="11">
        <v>70</v>
      </c>
      <c r="H10" s="5">
        <v>60</v>
      </c>
    </row>
    <row r="11" spans="1:8" x14ac:dyDescent="0.3">
      <c r="A11" s="9">
        <f t="shared" si="0"/>
        <v>44538</v>
      </c>
      <c r="B11" s="10">
        <v>73.5</v>
      </c>
      <c r="C11" s="10">
        <v>93.32</v>
      </c>
      <c r="D11" s="10">
        <v>70.610000000000014</v>
      </c>
      <c r="E11" s="10">
        <v>49.5</v>
      </c>
      <c r="F11" s="10">
        <v>62.5</v>
      </c>
      <c r="G11" s="11">
        <v>82</v>
      </c>
      <c r="H11" s="5">
        <v>75</v>
      </c>
    </row>
    <row r="12" spans="1:8" x14ac:dyDescent="0.3">
      <c r="A12" s="9">
        <f t="shared" si="0"/>
        <v>44545</v>
      </c>
      <c r="B12" s="10">
        <v>88.18</v>
      </c>
      <c r="C12" s="10">
        <v>110.02</v>
      </c>
      <c r="D12" s="13">
        <v>101.76</v>
      </c>
      <c r="E12" s="10">
        <v>65.2</v>
      </c>
      <c r="F12" s="10">
        <v>72.900000000000006</v>
      </c>
      <c r="G12" s="11">
        <v>94.85</v>
      </c>
      <c r="H12" s="5">
        <v>80</v>
      </c>
    </row>
    <row r="13" spans="1:8" x14ac:dyDescent="0.3">
      <c r="A13" s="9">
        <f t="shared" si="0"/>
        <v>44552</v>
      </c>
      <c r="B13" s="10">
        <v>114.52</v>
      </c>
      <c r="C13" s="10">
        <v>126.77</v>
      </c>
      <c r="D13" s="10">
        <v>113.29151999999999</v>
      </c>
      <c r="E13" s="10">
        <v>69.2</v>
      </c>
      <c r="F13" s="10">
        <v>89.1</v>
      </c>
      <c r="G13" s="11">
        <v>108</v>
      </c>
      <c r="H13" s="5">
        <v>100</v>
      </c>
    </row>
    <row r="14" spans="1:8" x14ac:dyDescent="0.3">
      <c r="A14" s="9">
        <f t="shared" si="0"/>
        <v>44559</v>
      </c>
      <c r="B14" s="10">
        <v>130.15</v>
      </c>
      <c r="C14" s="10">
        <v>141.51</v>
      </c>
      <c r="D14" s="10">
        <v>121.80000000000001</v>
      </c>
      <c r="E14" s="14">
        <v>74.95</v>
      </c>
      <c r="F14" s="14">
        <v>98.41</v>
      </c>
      <c r="G14" s="15">
        <v>119</v>
      </c>
      <c r="H14" s="7">
        <v>108</v>
      </c>
    </row>
    <row r="15" spans="1:8" x14ac:dyDescent="0.3">
      <c r="A15" s="9">
        <f t="shared" si="0"/>
        <v>44566</v>
      </c>
      <c r="B15" s="10">
        <v>148.79</v>
      </c>
      <c r="C15" s="10">
        <f>AVERAGE(C14,C16)</f>
        <v>185.01</v>
      </c>
      <c r="D15" s="13">
        <v>122</v>
      </c>
      <c r="E15" s="14">
        <v>79</v>
      </c>
      <c r="F15" s="14">
        <v>114.45</v>
      </c>
      <c r="G15" s="15">
        <v>131.79</v>
      </c>
      <c r="H15" s="7">
        <v>122</v>
      </c>
    </row>
    <row r="16" spans="1:8" x14ac:dyDescent="0.3">
      <c r="A16" s="9">
        <f t="shared" si="0"/>
        <v>44573</v>
      </c>
      <c r="B16" s="10">
        <v>168.55</v>
      </c>
      <c r="C16" s="10">
        <v>228.51</v>
      </c>
      <c r="D16" s="13">
        <v>145</v>
      </c>
      <c r="E16" s="14">
        <v>88.24</v>
      </c>
      <c r="F16" s="14">
        <v>125.45</v>
      </c>
      <c r="G16" s="15">
        <v>143.87</v>
      </c>
      <c r="H16" s="7">
        <v>140</v>
      </c>
    </row>
    <row r="17" spans="1:8" x14ac:dyDescent="0.3">
      <c r="A17" s="9">
        <f t="shared" si="0"/>
        <v>44580</v>
      </c>
      <c r="B17" s="10">
        <v>181.41</v>
      </c>
      <c r="C17" s="10">
        <v>232.98</v>
      </c>
      <c r="D17" s="13">
        <v>165</v>
      </c>
      <c r="E17" s="14">
        <v>95.34</v>
      </c>
      <c r="F17" s="14">
        <v>144.47999999999999</v>
      </c>
      <c r="G17" s="15">
        <v>170</v>
      </c>
      <c r="H17" s="8">
        <v>165</v>
      </c>
    </row>
    <row r="18" spans="1:8" x14ac:dyDescent="0.3">
      <c r="A18" s="9">
        <f t="shared" si="0"/>
        <v>44587</v>
      </c>
      <c r="B18" s="10">
        <v>201.96</v>
      </c>
      <c r="C18" s="10">
        <v>241.2</v>
      </c>
      <c r="D18" s="13">
        <v>178.8</v>
      </c>
      <c r="E18" s="14">
        <v>104.7</v>
      </c>
      <c r="F18" s="14">
        <v>155.1</v>
      </c>
      <c r="G18" s="15">
        <v>171</v>
      </c>
      <c r="H18" s="8">
        <v>169</v>
      </c>
    </row>
    <row r="19" spans="1:8" x14ac:dyDescent="0.3">
      <c r="A19" s="9">
        <f t="shared" si="0"/>
        <v>44594</v>
      </c>
      <c r="B19" s="10">
        <v>227.86</v>
      </c>
      <c r="C19" s="10">
        <v>249.74</v>
      </c>
      <c r="D19" s="13">
        <v>180</v>
      </c>
      <c r="E19" s="14">
        <v>112.25</v>
      </c>
      <c r="F19" s="14">
        <v>175.2</v>
      </c>
      <c r="G19" s="15">
        <v>175.9</v>
      </c>
      <c r="H19" s="8">
        <v>172</v>
      </c>
    </row>
    <row r="20" spans="1:8" x14ac:dyDescent="0.3">
      <c r="A20" s="9">
        <f t="shared" si="0"/>
        <v>44601</v>
      </c>
      <c r="B20" s="10">
        <v>230.75</v>
      </c>
      <c r="C20" s="10">
        <v>263</v>
      </c>
      <c r="D20" s="13">
        <v>190.8</v>
      </c>
      <c r="E20" s="14">
        <v>122.5</v>
      </c>
      <c r="F20" s="14">
        <v>185.4</v>
      </c>
      <c r="G20" s="15">
        <v>184</v>
      </c>
      <c r="H20" s="8">
        <v>180</v>
      </c>
    </row>
    <row r="21" spans="1:8" x14ac:dyDescent="0.3">
      <c r="A21" s="9">
        <f t="shared" si="0"/>
        <v>44608</v>
      </c>
      <c r="B21" s="10">
        <v>246.65</v>
      </c>
      <c r="C21" s="10">
        <v>269.61</v>
      </c>
      <c r="D21" s="13">
        <v>205</v>
      </c>
      <c r="E21" s="14">
        <v>132.47999999999999</v>
      </c>
      <c r="F21" s="14">
        <v>199</v>
      </c>
      <c r="G21" s="16">
        <v>199</v>
      </c>
      <c r="H21" s="8">
        <v>195</v>
      </c>
    </row>
    <row r="22" spans="1:8" x14ac:dyDescent="0.3">
      <c r="A22" s="9">
        <f t="shared" si="0"/>
        <v>44615</v>
      </c>
      <c r="B22" s="10">
        <v>260.5</v>
      </c>
      <c r="C22" s="10">
        <v>275.27999999999997</v>
      </c>
      <c r="D22" s="13">
        <v>208.49</v>
      </c>
      <c r="E22" s="14">
        <v>143.27000000000001</v>
      </c>
      <c r="F22" s="14">
        <v>208.1</v>
      </c>
      <c r="G22" s="15">
        <v>202</v>
      </c>
      <c r="H22" s="8">
        <v>200</v>
      </c>
    </row>
    <row r="23" spans="1:8" x14ac:dyDescent="0.3">
      <c r="A23" s="9">
        <f>A22+6</f>
        <v>44621</v>
      </c>
      <c r="B23" s="10">
        <v>272.8</v>
      </c>
      <c r="C23" s="10">
        <v>281.39</v>
      </c>
      <c r="D23" s="13">
        <v>220</v>
      </c>
      <c r="E23" s="14">
        <v>158</v>
      </c>
      <c r="F23" s="14">
        <v>208</v>
      </c>
      <c r="G23" s="15">
        <v>209</v>
      </c>
      <c r="H23" s="7"/>
    </row>
    <row r="24" spans="1:8" x14ac:dyDescent="0.3">
      <c r="A24" s="9">
        <f t="shared" si="0"/>
        <v>44628</v>
      </c>
      <c r="B24" s="10">
        <v>279.97000000000003</v>
      </c>
      <c r="C24" s="10">
        <f>AVERAGE(C23,C25)</f>
        <v>293.69499999999999</v>
      </c>
      <c r="D24" s="13">
        <v>230</v>
      </c>
      <c r="E24" s="14">
        <v>165</v>
      </c>
      <c r="F24" s="14">
        <v>225.5</v>
      </c>
      <c r="G24" s="15">
        <v>222.72</v>
      </c>
      <c r="H24" s="7"/>
    </row>
    <row r="25" spans="1:8" x14ac:dyDescent="0.3">
      <c r="A25" s="9">
        <f t="shared" si="0"/>
        <v>44635</v>
      </c>
      <c r="B25" s="10">
        <v>286.98</v>
      </c>
      <c r="C25" s="10">
        <v>306</v>
      </c>
      <c r="D25" s="13">
        <v>240</v>
      </c>
      <c r="E25" s="14">
        <v>180</v>
      </c>
      <c r="F25" s="14">
        <v>236.73</v>
      </c>
      <c r="G25" s="15">
        <v>234</v>
      </c>
      <c r="H25" s="7"/>
    </row>
    <row r="26" spans="1:8" x14ac:dyDescent="0.3">
      <c r="A26" s="9">
        <f t="shared" si="0"/>
        <v>44642</v>
      </c>
      <c r="B26" s="10">
        <v>283.97000000000003</v>
      </c>
      <c r="C26" s="10">
        <v>315.98</v>
      </c>
      <c r="D26" s="13">
        <v>245</v>
      </c>
      <c r="E26" s="14">
        <v>190.75</v>
      </c>
      <c r="F26" s="14">
        <v>243.74700000000001</v>
      </c>
      <c r="G26" s="15">
        <v>240.20449457530751</v>
      </c>
      <c r="H26" s="7"/>
    </row>
    <row r="27" spans="1:8" x14ac:dyDescent="0.3">
      <c r="A27" s="9">
        <f t="shared" si="0"/>
        <v>44649</v>
      </c>
      <c r="B27" s="10">
        <v>291</v>
      </c>
      <c r="C27" s="10">
        <v>317.89999999999998</v>
      </c>
      <c r="D27" s="13">
        <v>249.65</v>
      </c>
      <c r="E27" s="14">
        <v>196.25</v>
      </c>
      <c r="F27" s="14">
        <v>247.4</v>
      </c>
      <c r="G27" s="15">
        <v>244.4</v>
      </c>
      <c r="H27" s="7"/>
    </row>
    <row r="28" spans="1:8" x14ac:dyDescent="0.3">
      <c r="A28" s="9">
        <f t="shared" si="0"/>
        <v>44656</v>
      </c>
      <c r="B28" s="10">
        <v>291</v>
      </c>
      <c r="C28" s="10">
        <v>322.60000000000002</v>
      </c>
      <c r="D28" s="13">
        <v>255</v>
      </c>
      <c r="E28" s="14">
        <v>203.02</v>
      </c>
      <c r="F28" s="14">
        <v>266</v>
      </c>
      <c r="G28" s="15">
        <v>247.5</v>
      </c>
      <c r="H28" s="7"/>
    </row>
    <row r="29" spans="1:8" x14ac:dyDescent="0.3">
      <c r="A29" s="9">
        <f t="shared" si="0"/>
        <v>44663</v>
      </c>
      <c r="B29" s="10">
        <v>291</v>
      </c>
      <c r="C29" s="10">
        <v>323.43</v>
      </c>
      <c r="D29" s="13">
        <v>265</v>
      </c>
      <c r="E29" s="14">
        <v>221.5</v>
      </c>
      <c r="F29" s="14">
        <v>269</v>
      </c>
      <c r="G29" s="15">
        <v>257</v>
      </c>
      <c r="H29" s="7"/>
    </row>
    <row r="30" spans="1:8" x14ac:dyDescent="0.3">
      <c r="A30" s="9">
        <f t="shared" si="0"/>
        <v>44670</v>
      </c>
      <c r="B30" s="10">
        <v>291</v>
      </c>
      <c r="C30" s="10">
        <v>326</v>
      </c>
      <c r="D30" s="13">
        <v>270</v>
      </c>
      <c r="E30" s="14">
        <v>225</v>
      </c>
      <c r="F30" s="14">
        <v>272</v>
      </c>
      <c r="G30" s="15">
        <v>259.56</v>
      </c>
      <c r="H30" s="8"/>
    </row>
    <row r="31" spans="1:8" x14ac:dyDescent="0.3">
      <c r="A31" s="9">
        <f t="shared" si="0"/>
        <v>44677</v>
      </c>
      <c r="B31" s="10">
        <v>291.29000000000002</v>
      </c>
      <c r="C31" s="10">
        <v>327</v>
      </c>
      <c r="D31" s="13">
        <v>270</v>
      </c>
      <c r="E31" s="14">
        <v>230</v>
      </c>
      <c r="F31" s="14">
        <v>277</v>
      </c>
      <c r="G31" s="15">
        <v>262</v>
      </c>
      <c r="H31" s="8"/>
    </row>
    <row r="32" spans="1:8" x14ac:dyDescent="0.3">
      <c r="A32" s="9">
        <f t="shared" si="0"/>
        <v>44684</v>
      </c>
      <c r="B32" s="10">
        <v>292.76</v>
      </c>
      <c r="C32" s="10">
        <v>329.82</v>
      </c>
      <c r="D32" s="13">
        <v>273</v>
      </c>
      <c r="E32" s="14">
        <v>240</v>
      </c>
      <c r="F32" s="14">
        <v>283</v>
      </c>
      <c r="G32" s="15">
        <v>271</v>
      </c>
      <c r="H32" s="8"/>
    </row>
    <row r="33" spans="1:8" x14ac:dyDescent="0.3">
      <c r="A33" s="9">
        <f t="shared" si="0"/>
        <v>44691</v>
      </c>
      <c r="B33" s="10">
        <v>295.02</v>
      </c>
      <c r="C33" s="10">
        <v>329.82</v>
      </c>
      <c r="D33" s="13">
        <v>275</v>
      </c>
      <c r="E33" s="14">
        <v>249.63</v>
      </c>
      <c r="F33" s="14">
        <v>285</v>
      </c>
      <c r="G33" s="15">
        <v>272</v>
      </c>
      <c r="H33" s="8"/>
    </row>
    <row r="34" spans="1:8" x14ac:dyDescent="0.3">
      <c r="A34" s="9">
        <f t="shared" si="0"/>
        <v>44698</v>
      </c>
      <c r="B34" s="10">
        <v>298.33</v>
      </c>
      <c r="C34" s="10">
        <v>329.82</v>
      </c>
      <c r="D34" s="13">
        <v>280</v>
      </c>
      <c r="E34" s="14">
        <v>263</v>
      </c>
      <c r="F34" s="14">
        <v>288</v>
      </c>
      <c r="G34" s="15">
        <v>272.5</v>
      </c>
      <c r="H34" s="8"/>
    </row>
    <row r="35" spans="1:8" x14ac:dyDescent="0.3">
      <c r="A35" s="9">
        <f t="shared" si="0"/>
        <v>44705</v>
      </c>
      <c r="B35" s="10">
        <v>302.64</v>
      </c>
      <c r="C35" s="10">
        <v>331.35</v>
      </c>
      <c r="D35" s="13">
        <v>285</v>
      </c>
      <c r="E35" s="14">
        <v>272.75</v>
      </c>
      <c r="F35" s="14">
        <v>290</v>
      </c>
      <c r="G35" s="15">
        <f>F35-14</f>
        <v>276</v>
      </c>
      <c r="H35" s="7"/>
    </row>
    <row r="36" spans="1:8" x14ac:dyDescent="0.3">
      <c r="A36" s="9">
        <f t="shared" si="0"/>
        <v>44712</v>
      </c>
      <c r="B36" s="10">
        <v>320.20999999999998</v>
      </c>
      <c r="C36" s="10">
        <v>331.73</v>
      </c>
      <c r="D36" s="13">
        <v>290</v>
      </c>
      <c r="E36" s="14">
        <v>278.10000000000002</v>
      </c>
      <c r="F36" s="14">
        <v>296</v>
      </c>
      <c r="G36" s="15">
        <f t="shared" ref="G36:G53" si="1">F36-14</f>
        <v>282</v>
      </c>
      <c r="H36" s="7"/>
    </row>
    <row r="37" spans="1:8" x14ac:dyDescent="0.3">
      <c r="A37" s="9">
        <f t="shared" si="0"/>
        <v>44719</v>
      </c>
      <c r="B37" s="10">
        <v>324.44</v>
      </c>
      <c r="C37" s="10">
        <v>332.1</v>
      </c>
      <c r="D37" s="13">
        <v>295</v>
      </c>
      <c r="E37" s="14">
        <v>286.75</v>
      </c>
      <c r="F37" s="14">
        <v>298</v>
      </c>
      <c r="G37" s="15">
        <f t="shared" si="1"/>
        <v>284</v>
      </c>
      <c r="H37" s="7"/>
    </row>
    <row r="38" spans="1:8" x14ac:dyDescent="0.3">
      <c r="A38" s="9">
        <f t="shared" si="0"/>
        <v>44726</v>
      </c>
      <c r="B38" s="10">
        <v>331.19</v>
      </c>
      <c r="C38" s="10">
        <v>332.46</v>
      </c>
      <c r="D38" s="13">
        <v>300</v>
      </c>
      <c r="E38" s="14">
        <v>293</v>
      </c>
      <c r="F38" s="14">
        <v>300</v>
      </c>
      <c r="G38" s="15">
        <f t="shared" si="1"/>
        <v>286</v>
      </c>
      <c r="H38" s="7"/>
    </row>
    <row r="39" spans="1:8" x14ac:dyDescent="0.3">
      <c r="A39" s="9">
        <f t="shared" si="0"/>
        <v>44733</v>
      </c>
      <c r="B39" s="10">
        <v>335.09</v>
      </c>
      <c r="C39" s="10">
        <v>332.83</v>
      </c>
      <c r="D39" s="13">
        <v>305</v>
      </c>
      <c r="E39" s="14">
        <v>299</v>
      </c>
      <c r="F39" s="14">
        <v>302</v>
      </c>
      <c r="G39" s="15">
        <f t="shared" si="1"/>
        <v>288</v>
      </c>
      <c r="H39" s="7"/>
    </row>
    <row r="40" spans="1:8" x14ac:dyDescent="0.3">
      <c r="A40" s="9">
        <f t="shared" si="0"/>
        <v>44740</v>
      </c>
      <c r="B40" s="10">
        <v>332.02</v>
      </c>
      <c r="C40" s="10">
        <v>341.01</v>
      </c>
      <c r="D40" s="13">
        <v>305</v>
      </c>
      <c r="E40" s="14">
        <v>305.8</v>
      </c>
      <c r="F40" s="14">
        <v>304</v>
      </c>
      <c r="G40" s="15">
        <f t="shared" si="1"/>
        <v>290</v>
      </c>
      <c r="H40" s="7"/>
    </row>
    <row r="41" spans="1:8" x14ac:dyDescent="0.3">
      <c r="A41" s="9">
        <f t="shared" si="0"/>
        <v>44747</v>
      </c>
      <c r="B41" s="10">
        <v>334.21</v>
      </c>
      <c r="C41" s="10">
        <v>341.3</v>
      </c>
      <c r="D41" s="13">
        <v>305</v>
      </c>
      <c r="E41" s="14">
        <v>308</v>
      </c>
      <c r="F41" s="14">
        <v>305</v>
      </c>
      <c r="G41" s="15">
        <f t="shared" si="1"/>
        <v>291</v>
      </c>
      <c r="H41" s="7"/>
    </row>
    <row r="42" spans="1:8" x14ac:dyDescent="0.3">
      <c r="A42" s="9">
        <f t="shared" si="0"/>
        <v>44754</v>
      </c>
      <c r="B42" s="10">
        <v>336.73</v>
      </c>
      <c r="C42" s="10">
        <v>342.61</v>
      </c>
      <c r="D42" s="13">
        <v>305</v>
      </c>
      <c r="E42" s="14">
        <v>310.5</v>
      </c>
      <c r="F42" s="14">
        <v>306</v>
      </c>
      <c r="G42" s="15">
        <f t="shared" si="1"/>
        <v>292</v>
      </c>
      <c r="H42" s="7"/>
    </row>
    <row r="43" spans="1:8" x14ac:dyDescent="0.3">
      <c r="A43" s="9">
        <f t="shared" si="0"/>
        <v>44761</v>
      </c>
      <c r="B43" s="10">
        <v>344.47999999999996</v>
      </c>
      <c r="C43" s="10">
        <v>342.71000000000009</v>
      </c>
      <c r="D43" s="13">
        <v>305</v>
      </c>
      <c r="E43" s="14">
        <v>312.85000000000002</v>
      </c>
      <c r="F43" s="14">
        <v>309</v>
      </c>
      <c r="G43" s="15">
        <f t="shared" si="1"/>
        <v>295</v>
      </c>
      <c r="H43" s="7"/>
    </row>
    <row r="44" spans="1:8" x14ac:dyDescent="0.3">
      <c r="A44" s="9">
        <f t="shared" si="0"/>
        <v>44768</v>
      </c>
      <c r="B44" s="10">
        <v>346.94</v>
      </c>
      <c r="C44" s="10">
        <v>343.1</v>
      </c>
      <c r="D44" s="13">
        <v>305</v>
      </c>
      <c r="E44" s="14">
        <v>314.25</v>
      </c>
      <c r="F44" s="14">
        <v>312</v>
      </c>
      <c r="G44" s="15">
        <f t="shared" si="1"/>
        <v>298</v>
      </c>
      <c r="H44" s="7"/>
    </row>
    <row r="45" spans="1:8" x14ac:dyDescent="0.3">
      <c r="A45" s="9">
        <f t="shared" si="0"/>
        <v>44775</v>
      </c>
      <c r="B45" s="10">
        <v>347.49999999999994</v>
      </c>
      <c r="C45" s="10">
        <v>342.98</v>
      </c>
      <c r="D45" s="13">
        <v>305</v>
      </c>
      <c r="E45" s="14">
        <v>316.7</v>
      </c>
      <c r="F45" s="14">
        <v>314</v>
      </c>
      <c r="G45" s="15">
        <f t="shared" si="1"/>
        <v>300</v>
      </c>
      <c r="H45" s="7"/>
    </row>
    <row r="46" spans="1:8" x14ac:dyDescent="0.3">
      <c r="A46" s="9">
        <f t="shared" si="0"/>
        <v>44782</v>
      </c>
      <c r="B46" s="10">
        <v>346.61</v>
      </c>
      <c r="C46" s="10">
        <v>341.87999999999994</v>
      </c>
      <c r="D46" s="13">
        <v>305</v>
      </c>
      <c r="E46" s="14">
        <v>318</v>
      </c>
      <c r="F46" s="14">
        <v>315</v>
      </c>
      <c r="G46" s="15">
        <f t="shared" si="1"/>
        <v>301</v>
      </c>
      <c r="H46" s="7"/>
    </row>
    <row r="47" spans="1:8" x14ac:dyDescent="0.3">
      <c r="A47" s="9">
        <f t="shared" si="0"/>
        <v>44789</v>
      </c>
      <c r="B47" s="10">
        <v>350</v>
      </c>
      <c r="C47" s="10">
        <v>342</v>
      </c>
      <c r="D47" s="13">
        <v>305</v>
      </c>
      <c r="E47" s="14">
        <v>320.5</v>
      </c>
      <c r="F47" s="14">
        <v>316</v>
      </c>
      <c r="G47" s="15">
        <f t="shared" si="1"/>
        <v>302</v>
      </c>
      <c r="H47" s="7"/>
    </row>
    <row r="48" spans="1:8" x14ac:dyDescent="0.3">
      <c r="A48" s="9">
        <f t="shared" si="0"/>
        <v>44796</v>
      </c>
      <c r="B48" s="10">
        <v>351</v>
      </c>
      <c r="C48" s="10">
        <v>342</v>
      </c>
      <c r="D48" s="13">
        <v>305</v>
      </c>
      <c r="E48" s="14">
        <v>322.25</v>
      </c>
      <c r="F48" s="14">
        <v>318</v>
      </c>
      <c r="G48" s="15">
        <f t="shared" si="1"/>
        <v>304</v>
      </c>
      <c r="H48" s="7"/>
    </row>
    <row r="49" spans="1:8" x14ac:dyDescent="0.3">
      <c r="A49" s="9">
        <f t="shared" si="0"/>
        <v>44803</v>
      </c>
      <c r="B49" s="10">
        <v>352</v>
      </c>
      <c r="C49" s="10">
        <v>348.09</v>
      </c>
      <c r="D49" s="13">
        <v>310</v>
      </c>
      <c r="E49" s="14">
        <v>324.5</v>
      </c>
      <c r="F49" s="14">
        <v>319</v>
      </c>
      <c r="G49" s="15">
        <f t="shared" si="1"/>
        <v>305</v>
      </c>
      <c r="H49" s="7"/>
    </row>
    <row r="50" spans="1:8" x14ac:dyDescent="0.3">
      <c r="A50" s="9">
        <f t="shared" si="0"/>
        <v>44810</v>
      </c>
      <c r="B50" s="10">
        <v>353</v>
      </c>
      <c r="C50" s="10">
        <v>348.09</v>
      </c>
      <c r="D50" s="13">
        <v>310</v>
      </c>
      <c r="E50" s="14">
        <v>325.8</v>
      </c>
      <c r="F50" s="14">
        <v>319.5</v>
      </c>
      <c r="G50" s="15">
        <f t="shared" si="1"/>
        <v>305.5</v>
      </c>
      <c r="H50" s="7"/>
    </row>
    <row r="51" spans="1:8" x14ac:dyDescent="0.3">
      <c r="A51" s="9">
        <f t="shared" si="0"/>
        <v>44817</v>
      </c>
      <c r="B51" s="10">
        <v>357.5</v>
      </c>
      <c r="C51" s="10">
        <v>348.09</v>
      </c>
      <c r="D51" s="13">
        <v>310</v>
      </c>
      <c r="E51" s="14">
        <v>327.5</v>
      </c>
      <c r="F51" s="14">
        <v>320</v>
      </c>
      <c r="G51" s="15">
        <f t="shared" si="1"/>
        <v>306</v>
      </c>
      <c r="H51" s="7"/>
    </row>
    <row r="52" spans="1:8" x14ac:dyDescent="0.3">
      <c r="A52" s="3">
        <f t="shared" si="0"/>
        <v>44824</v>
      </c>
      <c r="B52" s="4">
        <v>357.5</v>
      </c>
      <c r="C52" s="4">
        <v>348.09</v>
      </c>
      <c r="D52" s="6">
        <v>310</v>
      </c>
      <c r="E52" s="7">
        <v>329.4</v>
      </c>
      <c r="F52" s="7">
        <v>321</v>
      </c>
      <c r="G52" s="8">
        <f t="shared" si="1"/>
        <v>307</v>
      </c>
      <c r="H52" s="7"/>
    </row>
    <row r="53" spans="1:8" x14ac:dyDescent="0.3">
      <c r="A53" s="3">
        <f t="shared" si="0"/>
        <v>44831</v>
      </c>
      <c r="B53" s="4">
        <v>357.5</v>
      </c>
      <c r="C53" s="4">
        <v>348.09</v>
      </c>
      <c r="D53" s="6">
        <v>310</v>
      </c>
      <c r="E53" s="7">
        <v>331.4</v>
      </c>
      <c r="F53" s="7">
        <v>322</v>
      </c>
      <c r="G53" s="8">
        <f t="shared" si="1"/>
        <v>308</v>
      </c>
      <c r="H5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Agripreneurs Research</dc:creator>
  <cp:lastModifiedBy>Aditya Mangale</cp:lastModifiedBy>
  <dcterms:created xsi:type="dcterms:W3CDTF">2026-03-10T19:45:57Z</dcterms:created>
  <dcterms:modified xsi:type="dcterms:W3CDTF">2026-07-09T06:48:51Z</dcterms:modified>
</cp:coreProperties>
</file>